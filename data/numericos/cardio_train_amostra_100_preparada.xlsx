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108492101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preparados" sheetId="1" r:id="R9193f16e15914a75"/>
    <x:sheet xmlns:r="http://schemas.openxmlformats.org/officeDocument/2006/relationships" name="Dicionario" sheetId="2" r:id="R1e3ec4932219497b"/>
    <x:sheet xmlns:r="http://schemas.openxmlformats.org/officeDocument/2006/relationships" name="Resumo" sheetId="3" r:id="Rdedeb930db6d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EDE6F3"/>
      </x:patternFill>
    </x:fill>
    <x:fill>
      <x:patternFill patternType="solid">
        <x:fgColor rgb="FFF7F3F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478ff6c3f48e6" /><Relationship Type="http://schemas.openxmlformats.org/officeDocument/2006/relationships/theme" Target="/xl/theme/theme1.xml" Id="R06654dddb0214e24" /><Relationship Type="http://schemas.openxmlformats.org/officeDocument/2006/relationships/sharedStrings" Target="/xl/sharedStrings.xml" Id="Rda0cfd44f73c47c3" /><Relationship Type="http://schemas.openxmlformats.org/officeDocument/2006/relationships/worksheet" Target="/xl/worksheets/sheet1.xml" Id="R9193f16e15914a75" /><Relationship Type="http://schemas.openxmlformats.org/officeDocument/2006/relationships/worksheet" Target="/xl/worksheets/sheet2.xml" Id="R1e3ec4932219497b" /><Relationship Type="http://schemas.openxmlformats.org/officeDocument/2006/relationships/worksheet" Target="/xl/worksheets/sheet3.xml" Id="Rdedeb930db6d4d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8fee0a85454f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Presença de doença cardiovascular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Quantidade</c:v>
          </c:tx>
          <c:cat>
            <c:strRef>
              <c:f>'Resumo'!$D$4:$D$5</c:f>
              <c:strCache>
                <c:ptCount val="0"/>
              </c:strCache>
            </c:strRef>
          </c:cat>
          <c:val>
            <c:numRef>
              <c:f>'Resumo'!$E$4:$E$5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6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8fee0a85454f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dioRealTable" displayName="CardioRealTable" ref="A1:O101" headerRowCount="1" totalsRowCount="0" totalsRowShown="0">
  <x:tableColumns count="15">
    <x:tableColumn id="1" name="id"/>
    <x:tableColumn id="2" name="idade_dias"/>
    <x:tableColumn id="3" name="idade_anos"/>
    <x:tableColumn id="4" name="sexo"/>
    <x:tableColumn id="5" name="altura_cm"/>
    <x:tableColumn id="6" name="peso_kg"/>
    <x:tableColumn id="7" name="imc"/>
    <x:tableColumn id="8" name="pressao_sistolica"/>
    <x:tableColumn id="9" name="pressao_diastolica"/>
    <x:tableColumn id="10" name="colesterol"/>
    <x:tableColumn id="11" name="glicose"/>
    <x:tableColumn id="12" name="tabagista"/>
    <x:tableColumn id="13" name="consumo_alcool"/>
    <x:tableColumn id="14" name="atividade_fisica"/>
    <x:tableColumn id="15" name="doenca_cardiovascul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RealTable" displayName="DicionarioRealTable" ref="A1:D16" headerRowCount="1" totalsRowCount="0" totalsRowShown="0">
  <x:tableColumns count="4">
    <x:tableColumn id="1" name="variavel"/>
    <x:tableColumn id="2" name="tipo"/>
    <x:tableColumn id="3" name="descricao"/>
    <x:tableColumn id="4" name="codificacao_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b5a0b4b25e45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109b7823b64f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0e713ef10494ea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18" hidden="0" customWidth="1"/>
    <x:col min="9" max="9" width="18" hidden="0" customWidth="1"/>
    <x:col min="10" max="10" width="20" hidden="0" customWidth="1"/>
    <x:col min="11" max="11" width="20" hidden="0" customWidth="1"/>
    <x:col min="12" max="12" width="12" hidden="0" customWidth="1"/>
    <x:col min="13" max="13" width="14" hidden="0" customWidth="1"/>
    <x:col min="14" max="14" width="16" hidden="0" customWidth="1"/>
    <x:col min="15" max="15" width="22" hidden="0" customWidth="1"/>
  </x:cols>
  <x:sheetData>
    <x:row r="1" ht="32" customHeight="1">
      <x:c r="A1" s="6" t="str">
        <x:v>id</x:v>
      </x:c>
      <x:c r="B1" s="6" t="str">
        <x:v>idade_dias</x:v>
      </x:c>
      <x:c r="C1" s="6" t="str">
        <x:v>idade_anos</x:v>
      </x:c>
      <x:c r="D1" s="6" t="str">
        <x:v>sexo</x:v>
      </x:c>
      <x:c r="E1" s="6" t="str">
        <x:v>altura_cm</x:v>
      </x:c>
      <x:c r="F1" s="6" t="str">
        <x:v>peso_kg</x:v>
      </x:c>
      <x:c r="G1" s="6" t="str">
        <x:v>imc</x:v>
      </x:c>
      <x:c r="H1" s="6" t="str">
        <x:v>pressao_sistolica</x:v>
      </x:c>
      <x:c r="I1" s="6" t="str">
        <x:v>pressao_diastolica</x:v>
      </x:c>
      <x:c r="J1" s="6" t="str">
        <x:v>colesterol</x:v>
      </x:c>
      <x:c r="K1" s="6" t="str">
        <x:v>glicose</x:v>
      </x:c>
      <x:c r="L1" s="6" t="str">
        <x:v>tabagista</x:v>
      </x:c>
      <x:c r="M1" s="6" t="str">
        <x:v>consumo_alcool</x:v>
      </x:c>
      <x:c r="N1" s="6" t="str">
        <x:v>atividade_fisica</x:v>
      </x:c>
      <x:c r="O1" s="6" t="str">
        <x:v>doenca_cardiovascular</x:v>
      </x:c>
    </x:row>
    <x:row r="2">
      <x:c r="A2" t="n">
        <x:v>0</x:v>
      </x:c>
      <x:c r="B2" t="n">
        <x:v>18393</x:v>
      </x:c>
      <x:c r="C2" s="12" t="n">
        <x:v>50.4</x:v>
      </x:c>
      <x:c r="D2" t="str">
        <x:v>Masculino</x:v>
      </x:c>
      <x:c r="E2" t="n">
        <x:v>168</x:v>
      </x:c>
      <x:c r="F2" s="12" t="n">
        <x:v>62</x:v>
      </x:c>
      <x:c r="G2" s="12" t="n">
        <x:v>22</x:v>
      </x:c>
      <x:c r="H2" t="n">
        <x:v>110</x:v>
      </x:c>
      <x:c r="I2" t="n">
        <x:v>80</x:v>
      </x:c>
      <x:c r="J2" t="str">
        <x:v>normal</x:v>
      </x:c>
      <x:c r="K2" t="str">
        <x:v>normal</x:v>
      </x:c>
      <x:c r="L2" t="n">
        <x:v>0</x:v>
      </x:c>
      <x:c r="M2" t="n">
        <x:v>0</x:v>
      </x:c>
      <x:c r="N2" t="n">
        <x:v>1</x:v>
      </x:c>
      <x:c r="O2" t="n">
        <x:v>0</x:v>
      </x:c>
    </x:row>
    <x:row r="3">
      <x:c r="A3" t="n">
        <x:v>1</x:v>
      </x:c>
      <x:c r="B3" t="n">
        <x:v>20228</x:v>
      </x:c>
      <x:c r="C3" s="12" t="n">
        <x:v>55.4</x:v>
      </x:c>
      <x:c r="D3" t="str">
        <x:v>Feminino</x:v>
      </x:c>
      <x:c r="E3" t="n">
        <x:v>156</x:v>
      </x:c>
      <x:c r="F3" s="12" t="n">
        <x:v>85</x:v>
      </x:c>
      <x:c r="G3" s="12" t="n">
        <x:v>34.9</x:v>
      </x:c>
      <x:c r="H3" t="n">
        <x:v>140</x:v>
      </x:c>
      <x:c r="I3" t="n">
        <x:v>90</x:v>
      </x:c>
      <x:c r="J3" t="str">
        <x:v>muito_acima_do_normal</x:v>
      </x:c>
      <x:c r="K3" t="str">
        <x:v>normal</x:v>
      </x:c>
      <x:c r="L3" t="n">
        <x:v>0</x:v>
      </x:c>
      <x:c r="M3" t="n">
        <x:v>0</x:v>
      </x:c>
      <x:c r="N3" t="n">
        <x:v>1</x:v>
      </x:c>
      <x:c r="O3" t="n">
        <x:v>1</x:v>
      </x:c>
    </x:row>
    <x:row r="4">
      <x:c r="A4" t="n">
        <x:v>2</x:v>
      </x:c>
      <x:c r="B4" t="n">
        <x:v>18857</x:v>
      </x:c>
      <x:c r="C4" s="12" t="n">
        <x:v>51.6</x:v>
      </x:c>
      <x:c r="D4" t="str">
        <x:v>Feminino</x:v>
      </x:c>
      <x:c r="E4" t="n">
        <x:v>165</x:v>
      </x:c>
      <x:c r="F4" s="12" t="n">
        <x:v>64</x:v>
      </x:c>
      <x:c r="G4" s="12" t="n">
        <x:v>23.5</x:v>
      </x:c>
      <x:c r="H4" t="n">
        <x:v>130</x:v>
      </x:c>
      <x:c r="I4" t="n">
        <x:v>70</x:v>
      </x:c>
      <x:c r="J4" t="str">
        <x:v>muito_acima_do_normal</x:v>
      </x:c>
      <x:c r="K4" t="str">
        <x:v>normal</x:v>
      </x:c>
      <x:c r="L4" t="n">
        <x:v>0</x:v>
      </x:c>
      <x:c r="M4" t="n">
        <x:v>0</x:v>
      </x:c>
      <x:c r="N4" t="n">
        <x:v>0</x:v>
      </x:c>
      <x:c r="O4" t="n">
        <x:v>1</x:v>
      </x:c>
    </x:row>
    <x:row r="5">
      <x:c r="A5" t="n">
        <x:v>3</x:v>
      </x:c>
      <x:c r="B5" t="n">
        <x:v>17623</x:v>
      </x:c>
      <x:c r="C5" s="12" t="n">
        <x:v>48.2</x:v>
      </x:c>
      <x:c r="D5" t="str">
        <x:v>Masculino</x:v>
      </x:c>
      <x:c r="E5" t="n">
        <x:v>169</x:v>
      </x:c>
      <x:c r="F5" s="12" t="n">
        <x:v>82</x:v>
      </x:c>
      <x:c r="G5" s="12" t="n">
        <x:v>28.7</x:v>
      </x:c>
      <x:c r="H5" t="n">
        <x:v>150</x:v>
      </x:c>
      <x:c r="I5" t="n">
        <x:v>100</x:v>
      </x:c>
      <x:c r="J5" t="str">
        <x:v>normal</x:v>
      </x:c>
      <x:c r="K5" t="str">
        <x:v>normal</x:v>
      </x:c>
      <x:c r="L5" t="n">
        <x:v>0</x:v>
      </x:c>
      <x:c r="M5" t="n">
        <x:v>0</x:v>
      </x:c>
      <x:c r="N5" t="n">
        <x:v>1</x:v>
      </x:c>
      <x:c r="O5" t="n">
        <x:v>1</x:v>
      </x:c>
    </x:row>
    <x:row r="6">
      <x:c r="A6" t="n">
        <x:v>4</x:v>
      </x:c>
      <x:c r="B6" t="n">
        <x:v>17474</x:v>
      </x:c>
      <x:c r="C6" s="12" t="n">
        <x:v>47.8</x:v>
      </x:c>
      <x:c r="D6" t="str">
        <x:v>Feminino</x:v>
      </x:c>
      <x:c r="E6" t="n">
        <x:v>156</x:v>
      </x:c>
      <x:c r="F6" s="12" t="n">
        <x:v>56</x:v>
      </x:c>
      <x:c r="G6" s="12" t="n">
        <x:v>23</x:v>
      </x:c>
      <x:c r="H6" t="n">
        <x:v>100</x:v>
      </x:c>
      <x:c r="I6" t="n">
        <x:v>60</x:v>
      </x:c>
      <x:c r="J6" t="str">
        <x:v>normal</x:v>
      </x:c>
      <x:c r="K6" t="str">
        <x:v>normal</x:v>
      </x:c>
      <x:c r="L6" t="n">
        <x:v>0</x:v>
      </x:c>
      <x:c r="M6" t="n">
        <x:v>0</x:v>
      </x:c>
      <x:c r="N6" t="n">
        <x:v>0</x:v>
      </x:c>
      <x:c r="O6" t="n">
        <x:v>0</x:v>
      </x:c>
    </x:row>
    <x:row r="7">
      <x:c r="A7" t="n">
        <x:v>8</x:v>
      </x:c>
      <x:c r="B7" t="n">
        <x:v>21914</x:v>
      </x:c>
      <x:c r="C7" s="12" t="n">
        <x:v>60</x:v>
      </x:c>
      <x:c r="D7" t="str">
        <x:v>Feminino</x:v>
      </x:c>
      <x:c r="E7" t="n">
        <x:v>151</x:v>
      </x:c>
      <x:c r="F7" s="12" t="n">
        <x:v>67</x:v>
      </x:c>
      <x:c r="G7" s="12" t="n">
        <x:v>29.4</x:v>
      </x:c>
      <x:c r="H7" t="n">
        <x:v>120</x:v>
      </x:c>
      <x:c r="I7" t="n">
        <x:v>80</x:v>
      </x:c>
      <x:c r="J7" t="str">
        <x:v>acima_do_normal</x:v>
      </x:c>
      <x:c r="K7" t="str">
        <x:v>acima_do_normal</x:v>
      </x:c>
      <x:c r="L7" t="n">
        <x:v>0</x:v>
      </x:c>
      <x:c r="M7" t="n">
        <x:v>0</x:v>
      </x:c>
      <x:c r="N7" t="n">
        <x:v>0</x:v>
      </x:c>
      <x:c r="O7" t="n">
        <x:v>0</x:v>
      </x:c>
    </x:row>
    <x:row r="8">
      <x:c r="A8" t="n">
        <x:v>9</x:v>
      </x:c>
      <x:c r="B8" t="n">
        <x:v>22113</x:v>
      </x:c>
      <x:c r="C8" s="12" t="n">
        <x:v>60.5</x:v>
      </x:c>
      <x:c r="D8" t="str">
        <x:v>Feminino</x:v>
      </x:c>
      <x:c r="E8" t="n">
        <x:v>157</x:v>
      </x:c>
      <x:c r="F8" s="12" t="n">
        <x:v>93</x:v>
      </x:c>
      <x:c r="G8" s="12" t="n">
        <x:v>37.7</x:v>
      </x:c>
      <x:c r="H8" t="n">
        <x:v>130</x:v>
      </x:c>
      <x:c r="I8" t="n">
        <x:v>80</x:v>
      </x:c>
      <x:c r="J8" t="str">
        <x:v>muito_acima_do_normal</x:v>
      </x:c>
      <x:c r="K8" t="str">
        <x:v>normal</x:v>
      </x:c>
      <x:c r="L8" t="n">
        <x:v>0</x:v>
      </x:c>
      <x:c r="M8" t="n">
        <x:v>0</x:v>
      </x:c>
      <x:c r="N8" t="n">
        <x:v>1</x:v>
      </x:c>
      <x:c r="O8" t="n">
        <x:v>0</x:v>
      </x:c>
    </x:row>
    <x:row r="9">
      <x:c r="A9" t="n">
        <x:v>12</x:v>
      </x:c>
      <x:c r="B9" t="n">
        <x:v>22584</x:v>
      </x:c>
      <x:c r="C9" s="12" t="n">
        <x:v>61.8</x:v>
      </x:c>
      <x:c r="D9" t="str">
        <x:v>Masculino</x:v>
      </x:c>
      <x:c r="E9" t="n">
        <x:v>178</x:v>
      </x:c>
      <x:c r="F9" s="12" t="n">
        <x:v>95</x:v>
      </x:c>
      <x:c r="G9" s="12" t="n">
        <x:v>30</x:v>
      </x:c>
      <x:c r="H9" t="n">
        <x:v>130</x:v>
      </x:c>
      <x:c r="I9" t="n">
        <x:v>90</x:v>
      </x:c>
      <x:c r="J9" t="str">
        <x:v>muito_acima_do_normal</x:v>
      </x:c>
      <x:c r="K9" t="str">
        <x:v>muito_acima_do_normal</x:v>
      </x:c>
      <x:c r="L9" t="n">
        <x:v>0</x:v>
      </x:c>
      <x:c r="M9" t="n">
        <x:v>0</x:v>
      </x:c>
      <x:c r="N9" t="n">
        <x:v>1</x:v>
      </x:c>
      <x:c r="O9" t="n">
        <x:v>1</x:v>
      </x:c>
    </x:row>
    <x:row r="10">
      <x:c r="A10" t="n">
        <x:v>13</x:v>
      </x:c>
      <x:c r="B10" t="n">
        <x:v>17668</x:v>
      </x:c>
      <x:c r="C10" s="12" t="n">
        <x:v>48.4</x:v>
      </x:c>
      <x:c r="D10" t="str">
        <x:v>Feminino</x:v>
      </x:c>
      <x:c r="E10" t="n">
        <x:v>158</x:v>
      </x:c>
      <x:c r="F10" s="12" t="n">
        <x:v>71</x:v>
      </x:c>
      <x:c r="G10" s="12" t="n">
        <x:v>28.4</x:v>
      </x:c>
      <x:c r="H10" t="n">
        <x:v>110</x:v>
      </x:c>
      <x:c r="I10" t="n">
        <x:v>70</x:v>
      </x:c>
      <x:c r="J10" t="str">
        <x:v>normal</x:v>
      </x:c>
      <x:c r="K10" t="str">
        <x:v>normal</x:v>
      </x:c>
      <x:c r="L10" t="n">
        <x:v>0</x:v>
      </x:c>
      <x:c r="M10" t="n">
        <x:v>0</x:v>
      </x:c>
      <x:c r="N10" t="n">
        <x:v>1</x:v>
      </x:c>
      <x:c r="O10" t="n">
        <x:v>0</x:v>
      </x:c>
    </x:row>
    <x:row r="11">
      <x:c r="A11" t="n">
        <x:v>14</x:v>
      </x:c>
      <x:c r="B11" t="n">
        <x:v>19834</x:v>
      </x:c>
      <x:c r="C11" s="12" t="n">
        <x:v>54.3</x:v>
      </x:c>
      <x:c r="D11" t="str">
        <x:v>Feminino</x:v>
      </x:c>
      <x:c r="E11" t="n">
        <x:v>164</x:v>
      </x:c>
      <x:c r="F11" s="12" t="n">
        <x:v>68</x:v>
      </x:c>
      <x:c r="G11" s="12" t="n">
        <x:v>25.3</x:v>
      </x:c>
      <x:c r="H11" t="n">
        <x:v>110</x:v>
      </x:c>
      <x:c r="I11" t="n">
        <x:v>60</x:v>
      </x:c>
      <x:c r="J11" t="str">
        <x:v>normal</x:v>
      </x:c>
      <x:c r="K11" t="str">
        <x:v>normal</x:v>
      </x:c>
      <x:c r="L11" t="n">
        <x:v>0</x:v>
      </x:c>
      <x:c r="M11" t="n">
        <x:v>0</x:v>
      </x:c>
      <x:c r="N11" t="n">
        <x:v>0</x:v>
      </x:c>
      <x:c r="O11" t="n">
        <x:v>0</x:v>
      </x:c>
    </x:row>
    <x:row r="12">
      <x:c r="A12" t="n">
        <x:v>15</x:v>
      </x:c>
      <x:c r="B12" t="n">
        <x:v>22530</x:v>
      </x:c>
      <x:c r="C12" s="12" t="n">
        <x:v>61.7</x:v>
      </x:c>
      <x:c r="D12" t="str">
        <x:v>Feminino</x:v>
      </x:c>
      <x:c r="E12" t="n">
        <x:v>169</x:v>
      </x:c>
      <x:c r="F12" s="12" t="n">
        <x:v>80</x:v>
      </x:c>
      <x:c r="G12" s="12" t="n">
        <x:v>28</x:v>
      </x:c>
      <x:c r="H12" t="n">
        <x:v>120</x:v>
      </x:c>
      <x:c r="I12" t="n">
        <x:v>80</x:v>
      </x:c>
      <x:c r="J12" t="str">
        <x:v>normal</x:v>
      </x:c>
      <x:c r="K12" t="str">
        <x:v>normal</x:v>
      </x:c>
      <x:c r="L12" t="n">
        <x:v>0</x:v>
      </x:c>
      <x:c r="M12" t="n">
        <x:v>0</x:v>
      </x:c>
      <x:c r="N12" t="n">
        <x:v>1</x:v>
      </x:c>
      <x:c r="O12" t="n">
        <x:v>0</x:v>
      </x:c>
    </x:row>
    <x:row r="13">
      <x:c r="A13" t="n">
        <x:v>16</x:v>
      </x:c>
      <x:c r="B13" t="n">
        <x:v>18815</x:v>
      </x:c>
      <x:c r="C13" s="12" t="n">
        <x:v>51.5</x:v>
      </x:c>
      <x:c r="D13" t="str">
        <x:v>Masculino</x:v>
      </x:c>
      <x:c r="E13" t="n">
        <x:v>173</x:v>
      </x:c>
      <x:c r="F13" s="12" t="n">
        <x:v>60</x:v>
      </x:c>
      <x:c r="G13" s="12" t="n">
        <x:v>20</x:v>
      </x:c>
      <x:c r="H13" t="n">
        <x:v>120</x:v>
      </x:c>
      <x:c r="I13" t="n">
        <x:v>80</x:v>
      </x:c>
      <x:c r="J13" t="str">
        <x:v>normal</x:v>
      </x:c>
      <x:c r="K13" t="str">
        <x:v>normal</x:v>
      </x:c>
      <x:c r="L13" t="n">
        <x:v>0</x:v>
      </x:c>
      <x:c r="M13" t="n">
        <x:v>0</x:v>
      </x:c>
      <x:c r="N13" t="n">
        <x:v>1</x:v>
      </x:c>
      <x:c r="O13" t="n">
        <x:v>0</x:v>
      </x:c>
    </x:row>
    <x:row r="14">
      <x:c r="A14" t="n">
        <x:v>18</x:v>
      </x:c>
      <x:c r="B14" t="n">
        <x:v>14791</x:v>
      </x:c>
      <x:c r="C14" s="12" t="n">
        <x:v>40.5</x:v>
      </x:c>
      <x:c r="D14" t="str">
        <x:v>Masculino</x:v>
      </x:c>
      <x:c r="E14" t="n">
        <x:v>165</x:v>
      </x:c>
      <x:c r="F14" s="12" t="n">
        <x:v>60</x:v>
      </x:c>
      <x:c r="G14" s="12" t="n">
        <x:v>22</x:v>
      </x:c>
      <x:c r="H14" t="n">
        <x:v>120</x:v>
      </x:c>
      <x:c r="I14" t="n">
        <x:v>80</x:v>
      </x:c>
      <x:c r="J14" t="str">
        <x:v>normal</x:v>
      </x:c>
      <x:c r="K14" t="str">
        <x:v>normal</x:v>
      </x:c>
      <x:c r="L14" t="n">
        <x:v>0</x:v>
      </x:c>
      <x:c r="M14" t="n">
        <x:v>0</x:v>
      </x:c>
      <x:c r="N14" t="n">
        <x:v>0</x:v>
      </x:c>
      <x:c r="O14" t="n">
        <x:v>0</x:v>
      </x:c>
    </x:row>
    <x:row r="15">
      <x:c r="A15" t="n">
        <x:v>21</x:v>
      </x:c>
      <x:c r="B15" t="n">
        <x:v>19809</x:v>
      </x:c>
      <x:c r="C15" s="12" t="n">
        <x:v>54.2</x:v>
      </x:c>
      <x:c r="D15" t="str">
        <x:v>Feminino</x:v>
      </x:c>
      <x:c r="E15" t="n">
        <x:v>158</x:v>
      </x:c>
      <x:c r="F15" s="12" t="n">
        <x:v>78</x:v>
      </x:c>
      <x:c r="G15" s="12" t="n">
        <x:v>31.2</x:v>
      </x:c>
      <x:c r="H15" t="n">
        <x:v>110</x:v>
      </x:c>
      <x:c r="I15" t="n">
        <x:v>70</x:v>
      </x:c>
      <x:c r="J15" t="str">
        <x:v>normal</x:v>
      </x:c>
      <x:c r="K15" t="str">
        <x:v>normal</x:v>
      </x:c>
      <x:c r="L15" t="n">
        <x:v>0</x:v>
      </x:c>
      <x:c r="M15" t="n">
        <x:v>0</x:v>
      </x:c>
      <x:c r="N15" t="n">
        <x:v>1</x:v>
      </x:c>
      <x:c r="O15" t="n">
        <x:v>0</x:v>
      </x:c>
    </x:row>
    <x:row r="16">
      <x:c r="A16" t="n">
        <x:v>23</x:v>
      </x:c>
      <x:c r="B16" t="n">
        <x:v>14532</x:v>
      </x:c>
      <x:c r="C16" s="12" t="n">
        <x:v>39.8</x:v>
      </x:c>
      <x:c r="D16" t="str">
        <x:v>Masculino</x:v>
      </x:c>
      <x:c r="E16" t="n">
        <x:v>181</x:v>
      </x:c>
      <x:c r="F16" s="12" t="n">
        <x:v>95</x:v>
      </x:c>
      <x:c r="G16" s="12" t="n">
        <x:v>29</x:v>
      </x:c>
      <x:c r="H16" t="n">
        <x:v>130</x:v>
      </x:c>
      <x:c r="I16" t="n">
        <x:v>90</x:v>
      </x:c>
      <x:c r="J16" t="str">
        <x:v>normal</x:v>
      </x:c>
      <x:c r="K16" t="str">
        <x:v>normal</x:v>
      </x:c>
      <x:c r="L16" t="n">
        <x:v>1</x:v>
      </x:c>
      <x:c r="M16" t="n">
        <x:v>1</x:v>
      </x:c>
      <x:c r="N16" t="n">
        <x:v>1</x:v>
      </x:c>
      <x:c r="O16" t="n">
        <x:v>0</x:v>
      </x:c>
    </x:row>
    <x:row r="17">
      <x:c r="A17" t="n">
        <x:v>24</x:v>
      </x:c>
      <x:c r="B17" t="n">
        <x:v>16782</x:v>
      </x:c>
      <x:c r="C17" s="12" t="n">
        <x:v>45.9</x:v>
      </x:c>
      <x:c r="D17" t="str">
        <x:v>Masculino</x:v>
      </x:c>
      <x:c r="E17" t="n">
        <x:v>172</x:v>
      </x:c>
      <x:c r="F17" s="12" t="n">
        <x:v>112</x:v>
      </x:c>
      <x:c r="G17" s="12" t="n">
        <x:v>37.9</x:v>
      </x:c>
      <x:c r="H17" t="n">
        <x:v>120</x:v>
      </x:c>
      <x:c r="I17" t="n">
        <x:v>80</x:v>
      </x:c>
      <x:c r="J17" t="str">
        <x:v>normal</x:v>
      </x:c>
      <x:c r="K17" t="str">
        <x:v>normal</x:v>
      </x:c>
      <x:c r="L17" t="n">
        <x:v>0</x:v>
      </x:c>
      <x:c r="M17" t="n">
        <x:v>0</x:v>
      </x:c>
      <x:c r="N17" t="n">
        <x:v>0</x:v>
      </x:c>
      <x:c r="O17" t="n">
        <x:v>1</x:v>
      </x:c>
    </x:row>
    <x:row r="18">
      <x:c r="A18" t="n">
        <x:v>25</x:v>
      </x:c>
      <x:c r="B18" t="n">
        <x:v>21296</x:v>
      </x:c>
      <x:c r="C18" s="12" t="n">
        <x:v>58.3</x:v>
      </x:c>
      <x:c r="D18" t="str">
        <x:v>Feminino</x:v>
      </x:c>
      <x:c r="E18" t="n">
        <x:v>170</x:v>
      </x:c>
      <x:c r="F18" s="12" t="n">
        <x:v>75</x:v>
      </x:c>
      <x:c r="G18" s="12" t="n">
        <x:v>26</x:v>
      </x:c>
      <x:c r="H18" t="n">
        <x:v>130</x:v>
      </x:c>
      <x:c r="I18" t="n">
        <x:v>70</x:v>
      </x:c>
      <x:c r="J18" t="str">
        <x:v>normal</x:v>
      </x:c>
      <x:c r="K18" t="str">
        <x:v>normal</x:v>
      </x:c>
      <x:c r="L18" t="n">
        <x:v>0</x:v>
      </x:c>
      <x:c r="M18" t="n">
        <x:v>0</x:v>
      </x:c>
      <x:c r="N18" t="n">
        <x:v>0</x:v>
      </x:c>
      <x:c r="O18" t="n">
        <x:v>0</x:v>
      </x:c>
    </x:row>
    <x:row r="19">
      <x:c r="A19" t="n">
        <x:v>27</x:v>
      </x:c>
      <x:c r="B19" t="n">
        <x:v>16747</x:v>
      </x:c>
      <x:c r="C19" s="12" t="n">
        <x:v>45.9</x:v>
      </x:c>
      <x:c r="D19" t="str">
        <x:v>Feminino</x:v>
      </x:c>
      <x:c r="E19" t="n">
        <x:v>158</x:v>
      </x:c>
      <x:c r="F19" s="12" t="n">
        <x:v>52</x:v>
      </x:c>
      <x:c r="G19" s="12" t="n">
        <x:v>20.8</x:v>
      </x:c>
      <x:c r="H19" t="n">
        <x:v>110</x:v>
      </x:c>
      <x:c r="I19" t="n">
        <x:v>70</x:v>
      </x:c>
      <x:c r="J19" t="str">
        <x:v>normal</x:v>
      </x:c>
      <x:c r="K19" t="str">
        <x:v>muito_acima_do_normal</x:v>
      </x:c>
      <x:c r="L19" t="n">
        <x:v>0</x:v>
      </x:c>
      <x:c r="M19" t="n">
        <x:v>0</x:v>
      </x:c>
      <x:c r="N19" t="n">
        <x:v>1</x:v>
      </x:c>
      <x:c r="O19" t="n">
        <x:v>0</x:v>
      </x:c>
    </x:row>
    <x:row r="20">
      <x:c r="A20" t="n">
        <x:v>28</x:v>
      </x:c>
      <x:c r="B20" t="n">
        <x:v>17482</x:v>
      </x:c>
      <x:c r="C20" s="12" t="n">
        <x:v>47.9</x:v>
      </x:c>
      <x:c r="D20" t="str">
        <x:v>Feminino</x:v>
      </x:c>
      <x:c r="E20" t="n">
        <x:v>154</x:v>
      </x:c>
      <x:c r="F20" s="12" t="n">
        <x:v>68</x:v>
      </x:c>
      <x:c r="G20" s="12" t="n">
        <x:v>28.7</x:v>
      </x:c>
      <x:c r="H20" t="n">
        <x:v>100</x:v>
      </x:c>
      <x:c r="I20" t="n">
        <x:v>70</x:v>
      </x:c>
      <x:c r="J20" t="str">
        <x:v>normal</x:v>
      </x:c>
      <x:c r="K20" t="str">
        <x:v>normal</x:v>
      </x:c>
      <x:c r="L20" t="n">
        <x:v>0</x:v>
      </x:c>
      <x:c r="M20" t="n">
        <x:v>0</x:v>
      </x:c>
      <x:c r="N20" t="n">
        <x:v>0</x:v>
      </x:c>
      <x:c r="O20" t="n">
        <x:v>0</x:v>
      </x:c>
    </x:row>
    <x:row r="21">
      <x:c r="A21" t="n">
        <x:v>29</x:v>
      </x:c>
      <x:c r="B21" t="n">
        <x:v>21755</x:v>
      </x:c>
      <x:c r="C21" s="12" t="n">
        <x:v>59.6</x:v>
      </x:c>
      <x:c r="D21" t="str">
        <x:v>Masculino</x:v>
      </x:c>
      <x:c r="E21" t="n">
        <x:v>162</x:v>
      </x:c>
      <x:c r="F21" s="12" t="n">
        <x:v>56</x:v>
      </x:c>
      <x:c r="G21" s="12" t="n">
        <x:v>21.3</x:v>
      </x:c>
      <x:c r="H21" t="n">
        <x:v>120</x:v>
      </x:c>
      <x:c r="I21" t="n">
        <x:v>70</x:v>
      </x:c>
      <x:c r="J21" t="str">
        <x:v>normal</x:v>
      </x:c>
      <x:c r="K21" t="str">
        <x:v>normal</x:v>
      </x:c>
      <x:c r="L21" t="n">
        <x:v>1</x:v>
      </x:c>
      <x:c r="M21" t="n">
        <x:v>0</x:v>
      </x:c>
      <x:c r="N21" t="n">
        <x:v>1</x:v>
      </x:c>
      <x:c r="O21" t="n">
        <x:v>0</x:v>
      </x:c>
    </x:row>
    <x:row r="22">
      <x:c r="A22" t="n">
        <x:v>30</x:v>
      </x:c>
      <x:c r="B22" t="n">
        <x:v>19778</x:v>
      </x:c>
      <x:c r="C22" s="12" t="n">
        <x:v>54.1</x:v>
      </x:c>
      <x:c r="D22" t="str">
        <x:v>Masculino</x:v>
      </x:c>
      <x:c r="E22" t="n">
        <x:v>163</x:v>
      </x:c>
      <x:c r="F22" s="12" t="n">
        <x:v>83</x:v>
      </x:c>
      <x:c r="G22" s="12" t="n">
        <x:v>31.2</x:v>
      </x:c>
      <x:c r="H22" t="n">
        <x:v>120</x:v>
      </x:c>
      <x:c r="I22" t="n">
        <x:v>80</x:v>
      </x:c>
      <x:c r="J22" t="str">
        <x:v>normal</x:v>
      </x:c>
      <x:c r="K22" t="str">
        <x:v>normal</x:v>
      </x:c>
      <x:c r="L22" t="n">
        <x:v>0</x:v>
      </x:c>
      <x:c r="M22" t="n">
        <x:v>0</x:v>
      </x:c>
      <x:c r="N22" t="n">
        <x:v>1</x:v>
      </x:c>
      <x:c r="O22" t="n">
        <x:v>0</x:v>
      </x:c>
    </x:row>
    <x:row r="23">
      <x:c r="A23" t="n">
        <x:v>31</x:v>
      </x:c>
      <x:c r="B23" t="n">
        <x:v>21413</x:v>
      </x:c>
      <x:c r="C23" s="12" t="n">
        <x:v>58.6</x:v>
      </x:c>
      <x:c r="D23" t="str">
        <x:v>Feminino</x:v>
      </x:c>
      <x:c r="E23" t="n">
        <x:v>157</x:v>
      </x:c>
      <x:c r="F23" s="12" t="n">
        <x:v>69</x:v>
      </x:c>
      <x:c r="G23" s="12" t="n">
        <x:v>28</x:v>
      </x:c>
      <x:c r="H23" t="n">
        <x:v>130</x:v>
      </x:c>
      <x:c r="I23" t="n">
        <x:v>80</x:v>
      </x:c>
      <x:c r="J23" t="str">
        <x:v>normal</x:v>
      </x:c>
      <x:c r="K23" t="str">
        <x:v>normal</x:v>
      </x:c>
      <x:c r="L23" t="n">
        <x:v>0</x:v>
      </x:c>
      <x:c r="M23" t="n">
        <x:v>0</x:v>
      </x:c>
      <x:c r="N23" t="n">
        <x:v>1</x:v>
      </x:c>
      <x:c r="O23" t="n">
        <x:v>0</x:v>
      </x:c>
    </x:row>
    <x:row r="24">
      <x:c r="A24" t="n">
        <x:v>32</x:v>
      </x:c>
      <x:c r="B24" t="n">
        <x:v>23046</x:v>
      </x:c>
      <x:c r="C24" s="12" t="n">
        <x:v>63.1</x:v>
      </x:c>
      <x:c r="D24" t="str">
        <x:v>Feminino</x:v>
      </x:c>
      <x:c r="E24" t="n">
        <x:v>158</x:v>
      </x:c>
      <x:c r="F24" s="12" t="n">
        <x:v>90</x:v>
      </x:c>
      <x:c r="G24" s="12" t="n">
        <x:v>36.1</x:v>
      </x:c>
      <x:c r="H24" t="n">
        <x:v>145</x:v>
      </x:c>
      <x:c r="I24" t="n">
        <x:v>85</x:v>
      </x:c>
      <x:c r="J24" t="str">
        <x:v>acima_do_normal</x:v>
      </x:c>
      <x:c r="K24" t="str">
        <x:v>acima_do_normal</x:v>
      </x:c>
      <x:c r="L24" t="n">
        <x:v>0</x:v>
      </x:c>
      <x:c r="M24" t="n">
        <x:v>0</x:v>
      </x:c>
      <x:c r="N24" t="n">
        <x:v>1</x:v>
      </x:c>
      <x:c r="O24" t="n">
        <x:v>1</x:v>
      </x:c>
    </x:row>
    <x:row r="25">
      <x:c r="A25" t="n">
        <x:v>33</x:v>
      </x:c>
      <x:c r="B25" t="n">
        <x:v>23376</x:v>
      </x:c>
      <x:c r="C25" s="12" t="n">
        <x:v>64</x:v>
      </x:c>
      <x:c r="D25" t="str">
        <x:v>Masculino</x:v>
      </x:c>
      <x:c r="E25" t="n">
        <x:v>156</x:v>
      </x:c>
      <x:c r="F25" s="12" t="n">
        <x:v>45</x:v>
      </x:c>
      <x:c r="G25" s="12" t="n">
        <x:v>18.5</x:v>
      </x:c>
      <x:c r="H25" t="n">
        <x:v>110</x:v>
      </x:c>
      <x:c r="I25" t="n">
        <x:v>60</x:v>
      </x:c>
      <x:c r="J25" t="str">
        <x:v>normal</x:v>
      </x:c>
      <x:c r="K25" t="str">
        <x:v>normal</x:v>
      </x:c>
      <x:c r="L25" t="n">
        <x:v>0</x:v>
      </x:c>
      <x:c r="M25" t="n">
        <x:v>0</x:v>
      </x:c>
      <x:c r="N25" t="n">
        <x:v>1</x:v>
      </x:c>
      <x:c r="O25" t="n">
        <x:v>0</x:v>
      </x:c>
    </x:row>
    <x:row r="26">
      <x:c r="A26" t="n">
        <x:v>35</x:v>
      </x:c>
      <x:c r="B26" t="n">
        <x:v>16608</x:v>
      </x:c>
      <x:c r="C26" s="12" t="n">
        <x:v>45.5</x:v>
      </x:c>
      <x:c r="D26" t="str">
        <x:v>Feminino</x:v>
      </x:c>
      <x:c r="E26" t="n">
        <x:v>170</x:v>
      </x:c>
      <x:c r="F26" s="12" t="n">
        <x:v>68</x:v>
      </x:c>
      <x:c r="G26" s="12" t="n">
        <x:v>23.5</x:v>
      </x:c>
      <x:c r="H26" t="n">
        <x:v>150</x:v>
      </x:c>
      <x:c r="I26" t="n">
        <x:v>90</x:v>
      </x:c>
      <x:c r="J26" t="str">
        <x:v>muito_acima_do_normal</x:v>
      </x:c>
      <x:c r="K26" t="str">
        <x:v>normal</x:v>
      </x:c>
      <x:c r="L26" t="n">
        <x:v>0</x:v>
      </x:c>
      <x:c r="M26" t="n">
        <x:v>0</x:v>
      </x:c>
      <x:c r="N26" t="n">
        <x:v>1</x:v>
      </x:c>
      <x:c r="O26" t="n">
        <x:v>1</x:v>
      </x:c>
    </x:row>
    <x:row r="27">
      <x:c r="A27" t="n">
        <x:v>36</x:v>
      </x:c>
      <x:c r="B27" t="n">
        <x:v>14453</x:v>
      </x:c>
      <x:c r="C27" s="12" t="n">
        <x:v>39.6</x:v>
      </x:c>
      <x:c r="D27" t="str">
        <x:v>Feminino</x:v>
      </x:c>
      <x:c r="E27" t="n">
        <x:v>153</x:v>
      </x:c>
      <x:c r="F27" s="12" t="n">
        <x:v>65</x:v>
      </x:c>
      <x:c r="G27" s="12" t="n">
        <x:v>27.8</x:v>
      </x:c>
      <x:c r="H27" t="n">
        <x:v>130</x:v>
      </x:c>
      <x:c r="I27" t="n">
        <x:v>100</x:v>
      </x:c>
      <x:c r="J27" t="str">
        <x:v>acima_do_normal</x:v>
      </x:c>
      <x:c r="K27" t="str">
        <x:v>normal</x:v>
      </x:c>
      <x:c r="L27" t="n">
        <x:v>0</x:v>
      </x:c>
      <x:c r="M27" t="n">
        <x:v>0</x:v>
      </x:c>
      <x:c r="N27" t="n">
        <x:v>1</x:v>
      </x:c>
      <x:c r="O27" t="n">
        <x:v>0</x:v>
      </x:c>
    </x:row>
    <x:row r="28">
      <x:c r="A28" t="n">
        <x:v>37</x:v>
      </x:c>
      <x:c r="B28" t="n">
        <x:v>19559</x:v>
      </x:c>
      <x:c r="C28" s="12" t="n">
        <x:v>53.5</x:v>
      </x:c>
      <x:c r="D28" t="str">
        <x:v>Feminino</x:v>
      </x:c>
      <x:c r="E28" t="n">
        <x:v>156</x:v>
      </x:c>
      <x:c r="F28" s="12" t="n">
        <x:v>59</x:v>
      </x:c>
      <x:c r="G28" s="12" t="n">
        <x:v>24.2</x:v>
      </x:c>
      <x:c r="H28" t="n">
        <x:v>130</x:v>
      </x:c>
      <x:c r="I28" t="n">
        <x:v>90</x:v>
      </x:c>
      <x:c r="J28" t="str">
        <x:v>normal</x:v>
      </x:c>
      <x:c r="K28" t="str">
        <x:v>normal</x:v>
      </x:c>
      <x:c r="L28" t="n">
        <x:v>0</x:v>
      </x:c>
      <x:c r="M28" t="n">
        <x:v>0</x:v>
      </x:c>
      <x:c r="N28" t="n">
        <x:v>1</x:v>
      </x:c>
      <x:c r="O28" t="n">
        <x:v>0</x:v>
      </x:c>
    </x:row>
    <x:row r="29">
      <x:c r="A29" t="n">
        <x:v>38</x:v>
      </x:c>
      <x:c r="B29" t="n">
        <x:v>18085</x:v>
      </x:c>
      <x:c r="C29" s="12" t="n">
        <x:v>49.5</x:v>
      </x:c>
      <x:c r="D29" t="str">
        <x:v>Feminino</x:v>
      </x:c>
      <x:c r="E29" t="n">
        <x:v>159</x:v>
      </x:c>
      <x:c r="F29" s="12" t="n">
        <x:v>78</x:v>
      </x:c>
      <x:c r="G29" s="12" t="n">
        <x:v>30.9</x:v>
      </x:c>
      <x:c r="H29" t="n">
        <x:v>120</x:v>
      </x:c>
      <x:c r="I29" t="n">
        <x:v>80</x:v>
      </x:c>
      <x:c r="J29" t="str">
        <x:v>normal</x:v>
      </x:c>
      <x:c r="K29" t="str">
        <x:v>normal</x:v>
      </x:c>
      <x:c r="L29" t="n">
        <x:v>0</x:v>
      </x:c>
      <x:c r="M29" t="n">
        <x:v>0</x:v>
      </x:c>
      <x:c r="N29" t="n">
        <x:v>1</x:v>
      </x:c>
      <x:c r="O29" t="n">
        <x:v>0</x:v>
      </x:c>
    </x:row>
    <x:row r="30">
      <x:c r="A30" t="n">
        <x:v>39</x:v>
      </x:c>
      <x:c r="B30" t="n">
        <x:v>14574</x:v>
      </x:c>
      <x:c r="C30" s="12" t="n">
        <x:v>39.9</x:v>
      </x:c>
      <x:c r="D30" t="str">
        <x:v>Masculino</x:v>
      </x:c>
      <x:c r="E30" t="n">
        <x:v>166</x:v>
      </x:c>
      <x:c r="F30" s="12" t="n">
        <x:v>66</x:v>
      </x:c>
      <x:c r="G30" s="12" t="n">
        <x:v>24</x:v>
      </x:c>
      <x:c r="H30" t="n">
        <x:v>120</x:v>
      </x:c>
      <x:c r="I30" t="n">
        <x:v>80</x:v>
      </x:c>
      <x:c r="J30" t="str">
        <x:v>normal</x:v>
      </x:c>
      <x:c r="K30" t="str">
        <x:v>normal</x:v>
      </x:c>
      <x:c r="L30" t="n">
        <x:v>0</x:v>
      </x:c>
      <x:c r="M30" t="n">
        <x:v>0</x:v>
      </x:c>
      <x:c r="N30" t="n">
        <x:v>1</x:v>
      </x:c>
      <x:c r="O30" t="n">
        <x:v>0</x:v>
      </x:c>
    </x:row>
    <x:row r="31">
      <x:c r="A31" t="n">
        <x:v>40</x:v>
      </x:c>
      <x:c r="B31" t="n">
        <x:v>21057</x:v>
      </x:c>
      <x:c r="C31" s="12" t="n">
        <x:v>57.7</x:v>
      </x:c>
      <x:c r="D31" t="str">
        <x:v>Masculino</x:v>
      </x:c>
      <x:c r="E31" t="n">
        <x:v>169</x:v>
      </x:c>
      <x:c r="F31" s="12" t="n">
        <x:v>74</x:v>
      </x:c>
      <x:c r="G31" s="12" t="n">
        <x:v>25.9</x:v>
      </x:c>
      <x:c r="H31" t="n">
        <x:v>130</x:v>
      </x:c>
      <x:c r="I31" t="n">
        <x:v>70</x:v>
      </x:c>
      <x:c r="J31" t="str">
        <x:v>normal</x:v>
      </x:c>
      <x:c r="K31" t="str">
        <x:v>muito_acima_do_normal</x:v>
      </x:c>
      <x:c r="L31" t="n">
        <x:v>0</x:v>
      </x:c>
      <x:c r="M31" t="n">
        <x:v>0</x:v>
      </x:c>
      <x:c r="N31" t="n">
        <x:v>0</x:v>
      </x:c>
      <x:c r="O31" t="n">
        <x:v>0</x:v>
      </x:c>
    </x:row>
    <x:row r="32">
      <x:c r="A32" t="n">
        <x:v>42</x:v>
      </x:c>
      <x:c r="B32" t="n">
        <x:v>18291</x:v>
      </x:c>
      <x:c r="C32" s="12" t="n">
        <x:v>50.1</x:v>
      </x:c>
      <x:c r="D32" t="str">
        <x:v>Feminino</x:v>
      </x:c>
      <x:c r="E32" t="n">
        <x:v>155</x:v>
      </x:c>
      <x:c r="F32" s="12" t="n">
        <x:v>105</x:v>
      </x:c>
      <x:c r="G32" s="12" t="n">
        <x:v>43.7</x:v>
      </x:c>
      <x:c r="H32" t="n">
        <x:v>120</x:v>
      </x:c>
      <x:c r="I32" t="n">
        <x:v>80</x:v>
      </x:c>
      <x:c r="J32" t="str">
        <x:v>muito_acima_do_normal</x:v>
      </x:c>
      <x:c r="K32" t="str">
        <x:v>normal</x:v>
      </x:c>
      <x:c r="L32" t="n">
        <x:v>0</x:v>
      </x:c>
      <x:c r="M32" t="n">
        <x:v>0</x:v>
      </x:c>
      <x:c r="N32" t="n">
        <x:v>1</x:v>
      </x:c>
      <x:c r="O32" t="n">
        <x:v>1</x:v>
      </x:c>
    </x:row>
    <x:row r="33">
      <x:c r="A33" t="n">
        <x:v>43</x:v>
      </x:c>
      <x:c r="B33" t="n">
        <x:v>23186</x:v>
      </x:c>
      <x:c r="C33" s="12" t="n">
        <x:v>63.5</x:v>
      </x:c>
      <x:c r="D33" t="str">
        <x:v>Feminino</x:v>
      </x:c>
      <x:c r="E33" t="n">
        <x:v>169</x:v>
      </x:c>
      <x:c r="F33" s="12" t="n">
        <x:v>71</x:v>
      </x:c>
      <x:c r="G33" s="12" t="n">
        <x:v>24.9</x:v>
      </x:c>
      <x:c r="H33" t="n">
        <x:v>140</x:v>
      </x:c>
      <x:c r="I33" t="n">
        <x:v>90</x:v>
      </x:c>
      <x:c r="J33" t="str">
        <x:v>muito_acima_do_normal</x:v>
      </x:c>
      <x:c r="K33" t="str">
        <x:v>normal</x:v>
      </x:c>
      <x:c r="L33" t="n">
        <x:v>0</x:v>
      </x:c>
      <x:c r="M33" t="n">
        <x:v>0</x:v>
      </x:c>
      <x:c r="N33" t="n">
        <x:v>1</x:v>
      </x:c>
      <x:c r="O33" t="n">
        <x:v>1</x:v>
      </x:c>
    </x:row>
    <x:row r="34">
      <x:c r="A34" t="n">
        <x:v>44</x:v>
      </x:c>
      <x:c r="B34" t="n">
        <x:v>14605</x:v>
      </x:c>
      <x:c r="C34" s="12" t="n">
        <x:v>40</x:v>
      </x:c>
      <x:c r="D34" t="str">
        <x:v>Feminino</x:v>
      </x:c>
      <x:c r="E34" t="n">
        <x:v>159</x:v>
      </x:c>
      <x:c r="F34" s="12" t="n">
        <x:v>60</x:v>
      </x:c>
      <x:c r="G34" s="12" t="n">
        <x:v>23.7</x:v>
      </x:c>
      <x:c r="H34" t="n">
        <x:v>110</x:v>
      </x:c>
      <x:c r="I34" t="n">
        <x:v>70</x:v>
      </x:c>
      <x:c r="J34" t="str">
        <x:v>normal</x:v>
      </x:c>
      <x:c r="K34" t="str">
        <x:v>normal</x:v>
      </x:c>
      <x:c r="L34" t="n">
        <x:v>0</x:v>
      </x:c>
      <x:c r="M34" t="n">
        <x:v>0</x:v>
      </x:c>
      <x:c r="N34" t="n">
        <x:v>1</x:v>
      </x:c>
      <x:c r="O34" t="n">
        <x:v>0</x:v>
      </x:c>
    </x:row>
    <x:row r="35">
      <x:c r="A35" t="n">
        <x:v>45</x:v>
      </x:c>
      <x:c r="B35" t="n">
        <x:v>20652</x:v>
      </x:c>
      <x:c r="C35" s="12" t="n">
        <x:v>56.5</x:v>
      </x:c>
      <x:c r="D35" t="str">
        <x:v>Feminino</x:v>
      </x:c>
      <x:c r="E35" t="n">
        <x:v>160</x:v>
      </x:c>
      <x:c r="F35" s="12" t="n">
        <x:v>73</x:v>
      </x:c>
      <x:c r="G35" s="12" t="n">
        <x:v>28.5</x:v>
      </x:c>
      <x:c r="H35" t="n">
        <x:v>130</x:v>
      </x:c>
      <x:c r="I35" t="n">
        <x:v>85</x:v>
      </x:c>
      <x:c r="J35" t="str">
        <x:v>normal</x:v>
      </x:c>
      <x:c r="K35" t="str">
        <x:v>normal</x:v>
      </x:c>
      <x:c r="L35" t="n">
        <x:v>0</x:v>
      </x:c>
      <x:c r="M35" t="n">
        <x:v>0</x:v>
      </x:c>
      <x:c r="N35" t="n">
        <x:v>0</x:v>
      </x:c>
      <x:c r="O35" t="n">
        <x:v>1</x:v>
      </x:c>
    </x:row>
    <x:row r="36">
      <x:c r="A36" t="n">
        <x:v>46</x:v>
      </x:c>
      <x:c r="B36" t="n">
        <x:v>21940</x:v>
      </x:c>
      <x:c r="C36" s="12" t="n">
        <x:v>60.1</x:v>
      </x:c>
      <x:c r="D36" t="str">
        <x:v>Masculino</x:v>
      </x:c>
      <x:c r="E36" t="n">
        <x:v>173</x:v>
      </x:c>
      <x:c r="F36" s="12" t="n">
        <x:v>82</x:v>
      </x:c>
      <x:c r="G36" s="12" t="n">
        <x:v>27.4</x:v>
      </x:c>
      <x:c r="H36" t="n">
        <x:v>140</x:v>
      </x:c>
      <x:c r="I36" t="n">
        <x:v>90</x:v>
      </x:c>
      <x:c r="J36" t="str">
        <x:v>muito_acima_do_normal</x:v>
      </x:c>
      <x:c r="K36" t="str">
        <x:v>normal</x:v>
      </x:c>
      <x:c r="L36" t="n">
        <x:v>0</x:v>
      </x:c>
      <x:c r="M36" t="n">
        <x:v>0</x:v>
      </x:c>
      <x:c r="N36" t="n">
        <x:v>0</x:v>
      </x:c>
      <x:c r="O36" t="n">
        <x:v>1</x:v>
      </x:c>
    </x:row>
    <x:row r="37">
      <x:c r="A37" t="n">
        <x:v>47</x:v>
      </x:c>
      <x:c r="B37" t="n">
        <x:v>20404</x:v>
      </x:c>
      <x:c r="C37" s="12" t="n">
        <x:v>55.9</x:v>
      </x:c>
      <x:c r="D37" t="str">
        <x:v>Feminino</x:v>
      </x:c>
      <x:c r="E37" t="n">
        <x:v>163</x:v>
      </x:c>
      <x:c r="F37" s="12" t="n">
        <x:v>55</x:v>
      </x:c>
      <x:c r="G37" s="12" t="n">
        <x:v>20.7</x:v>
      </x:c>
      <x:c r="H37" t="n">
        <x:v>120</x:v>
      </x:c>
      <x:c r="I37" t="n">
        <x:v>80</x:v>
      </x:c>
      <x:c r="J37" t="str">
        <x:v>normal</x:v>
      </x:c>
      <x:c r="K37" t="str">
        <x:v>normal</x:v>
      </x:c>
      <x:c r="L37" t="n">
        <x:v>0</x:v>
      </x:c>
      <x:c r="M37" t="n">
        <x:v>0</x:v>
      </x:c>
      <x:c r="N37" t="n">
        <x:v>1</x:v>
      </x:c>
      <x:c r="O37" t="n">
        <x:v>0</x:v>
      </x:c>
    </x:row>
    <x:row r="38">
      <x:c r="A38" t="n">
        <x:v>49</x:v>
      </x:c>
      <x:c r="B38" t="n">
        <x:v>18328</x:v>
      </x:c>
      <x:c r="C38" s="12" t="n">
        <x:v>50.2</x:v>
      </x:c>
      <x:c r="D38" t="str">
        <x:v>Masculino</x:v>
      </x:c>
      <x:c r="E38" t="n">
        <x:v>175</x:v>
      </x:c>
      <x:c r="F38" s="12" t="n">
        <x:v>95</x:v>
      </x:c>
      <x:c r="G38" s="12" t="n">
        <x:v>31</x:v>
      </x:c>
      <x:c r="H38" t="n">
        <x:v>120</x:v>
      </x:c>
      <x:c r="I38" t="n">
        <x:v>80</x:v>
      </x:c>
      <x:c r="J38" t="str">
        <x:v>normal</x:v>
      </x:c>
      <x:c r="K38" t="str">
        <x:v>normal</x:v>
      </x:c>
      <x:c r="L38" t="n">
        <x:v>0</x:v>
      </x:c>
      <x:c r="M38" t="n">
        <x:v>0</x:v>
      </x:c>
      <x:c r="N38" t="n">
        <x:v>1</x:v>
      </x:c>
      <x:c r="O38" t="n">
        <x:v>0</x:v>
      </x:c>
    </x:row>
    <x:row r="39">
      <x:c r="A39" t="n">
        <x:v>51</x:v>
      </x:c>
      <x:c r="B39" t="n">
        <x:v>17976</x:v>
      </x:c>
      <x:c r="C39" s="12" t="n">
        <x:v>49.2</x:v>
      </x:c>
      <x:c r="D39" t="str">
        <x:v>Feminino</x:v>
      </x:c>
      <x:c r="E39" t="n">
        <x:v>164</x:v>
      </x:c>
      <x:c r="F39" s="12" t="n">
        <x:v>70</x:v>
      </x:c>
      <x:c r="G39" s="12" t="n">
        <x:v>26</x:v>
      </x:c>
      <x:c r="H39" t="n">
        <x:v>130</x:v>
      </x:c>
      <x:c r="I39" t="n">
        <x:v>90</x:v>
      </x:c>
      <x:c r="J39" t="str">
        <x:v>normal</x:v>
      </x:c>
      <x:c r="K39" t="str">
        <x:v>normal</x:v>
      </x:c>
      <x:c r="L39" t="n">
        <x:v>0</x:v>
      </x:c>
      <x:c r="M39" t="n">
        <x:v>0</x:v>
      </x:c>
      <x:c r="N39" t="n">
        <x:v>1</x:v>
      </x:c>
      <x:c r="O39" t="n">
        <x:v>0</x:v>
      </x:c>
    </x:row>
    <x:row r="40">
      <x:c r="A40" t="n">
        <x:v>52</x:v>
      </x:c>
      <x:c r="B40" t="n">
        <x:v>23388</x:v>
      </x:c>
      <x:c r="C40" s="12" t="n">
        <x:v>64</x:v>
      </x:c>
      <x:c r="D40" t="str">
        <x:v>Masculino</x:v>
      </x:c>
      <x:c r="E40" t="n">
        <x:v>162</x:v>
      </x:c>
      <x:c r="F40" s="12" t="n">
        <x:v>72</x:v>
      </x:c>
      <x:c r="G40" s="12" t="n">
        <x:v>27.4</x:v>
      </x:c>
      <x:c r="H40" t="n">
        <x:v>130</x:v>
      </x:c>
      <x:c r="I40" t="n">
        <x:v>80</x:v>
      </x:c>
      <x:c r="J40" t="str">
        <x:v>normal</x:v>
      </x:c>
      <x:c r="K40" t="str">
        <x:v>normal</x:v>
      </x:c>
      <x:c r="L40" t="n">
        <x:v>1</x:v>
      </x:c>
      <x:c r="M40" t="n">
        <x:v>0</x:v>
      </x:c>
      <x:c r="N40" t="n">
        <x:v>1</x:v>
      </x:c>
      <x:c r="O40" t="n">
        <x:v>1</x:v>
      </x:c>
    </x:row>
    <x:row r="41">
      <x:c r="A41" t="n">
        <x:v>53</x:v>
      </x:c>
      <x:c r="B41" t="n">
        <x:v>18126</x:v>
      </x:c>
      <x:c r="C41" s="12" t="n">
        <x:v>49.6</x:v>
      </x:c>
      <x:c r="D41" t="str">
        <x:v>Feminino</x:v>
      </x:c>
      <x:c r="E41" t="n">
        <x:v>165</x:v>
      </x:c>
      <x:c r="F41" s="12" t="n">
        <x:v>70</x:v>
      </x:c>
      <x:c r="G41" s="12" t="n">
        <x:v>25.7</x:v>
      </x:c>
      <x:c r="H41" t="n">
        <x:v>140</x:v>
      </x:c>
      <x:c r="I41" t="n">
        <x:v>90</x:v>
      </x:c>
      <x:c r="J41" t="str">
        <x:v>normal</x:v>
      </x:c>
      <x:c r="K41" t="str">
        <x:v>normal</x:v>
      </x:c>
      <x:c r="L41" t="n">
        <x:v>0</x:v>
      </x:c>
      <x:c r="M41" t="n">
        <x:v>0</x:v>
      </x:c>
      <x:c r="N41" t="n">
        <x:v>1</x:v>
      </x:c>
      <x:c r="O41" t="n">
        <x:v>1</x:v>
      </x:c>
    </x:row>
    <x:row r="42">
      <x:c r="A42" t="n">
        <x:v>54</x:v>
      </x:c>
      <x:c r="B42" t="n">
        <x:v>19848</x:v>
      </x:c>
      <x:c r="C42" s="12" t="n">
        <x:v>54.3</x:v>
      </x:c>
      <x:c r="D42" t="str">
        <x:v>Feminino</x:v>
      </x:c>
      <x:c r="E42" t="n">
        <x:v>157</x:v>
      </x:c>
      <x:c r="F42" s="12" t="n">
        <x:v>62</x:v>
      </x:c>
      <x:c r="G42" s="12" t="n">
        <x:v>25.2</x:v>
      </x:c>
      <x:c r="H42" t="n">
        <x:v>110</x:v>
      </x:c>
      <x:c r="I42" t="n">
        <x:v>70</x:v>
      </x:c>
      <x:c r="J42" t="str">
        <x:v>normal</x:v>
      </x:c>
      <x:c r="K42" t="str">
        <x:v>normal</x:v>
      </x:c>
      <x:c r="L42" t="n">
        <x:v>0</x:v>
      </x:c>
      <x:c r="M42" t="n">
        <x:v>0</x:v>
      </x:c>
      <x:c r="N42" t="n">
        <x:v>0</x:v>
      </x:c>
      <x:c r="O42" t="n">
        <x:v>0</x:v>
      </x:c>
    </x:row>
    <x:row r="43">
      <x:c r="A43" t="n">
        <x:v>56</x:v>
      </x:c>
      <x:c r="B43" t="n">
        <x:v>18274</x:v>
      </x:c>
      <x:c r="C43" s="12" t="n">
        <x:v>50</x:v>
      </x:c>
      <x:c r="D43" t="str">
        <x:v>Feminino</x:v>
      </x:c>
      <x:c r="E43" t="n">
        <x:v>178</x:v>
      </x:c>
      <x:c r="F43" s="12" t="n">
        <x:v>68</x:v>
      </x:c>
      <x:c r="G43" s="12" t="n">
        <x:v>21.5</x:v>
      </x:c>
      <x:c r="H43" t="n">
        <x:v>110</x:v>
      </x:c>
      <x:c r="I43" t="n">
        <x:v>80</x:v>
      </x:c>
      <x:c r="J43" t="str">
        <x:v>normal</x:v>
      </x:c>
      <x:c r="K43" t="str">
        <x:v>normal</x:v>
      </x:c>
      <x:c r="L43" t="n">
        <x:v>0</x:v>
      </x:c>
      <x:c r="M43" t="n">
        <x:v>0</x:v>
      </x:c>
      <x:c r="N43" t="n">
        <x:v>1</x:v>
      </x:c>
      <x:c r="O43" t="n">
        <x:v>1</x:v>
      </x:c>
    </x:row>
    <x:row r="44">
      <x:c r="A44" t="n">
        <x:v>57</x:v>
      </x:c>
      <x:c r="B44" t="n">
        <x:v>21475</x:v>
      </x:c>
      <x:c r="C44" s="12" t="n">
        <x:v>58.8</x:v>
      </x:c>
      <x:c r="D44" t="str">
        <x:v>Masculino</x:v>
      </x:c>
      <x:c r="E44" t="n">
        <x:v>171</x:v>
      </x:c>
      <x:c r="F44" s="12" t="n">
        <x:v>69</x:v>
      </x:c>
      <x:c r="G44" s="12" t="n">
        <x:v>23.6</x:v>
      </x:c>
      <x:c r="H44" t="n">
        <x:v>140</x:v>
      </x:c>
      <x:c r="I44" t="n">
        <x:v>90</x:v>
      </x:c>
      <x:c r="J44" t="str">
        <x:v>normal</x:v>
      </x:c>
      <x:c r="K44" t="str">
        <x:v>normal</x:v>
      </x:c>
      <x:c r="L44" t="n">
        <x:v>0</x:v>
      </x:c>
      <x:c r="M44" t="n">
        <x:v>0</x:v>
      </x:c>
      <x:c r="N44" t="n">
        <x:v>1</x:v>
      </x:c>
      <x:c r="O44" t="n">
        <x:v>1</x:v>
      </x:c>
    </x:row>
    <x:row r="45">
      <x:c r="A45" t="n">
        <x:v>58</x:v>
      </x:c>
      <x:c r="B45" t="n">
        <x:v>20556</x:v>
      </x:c>
      <x:c r="C45" s="12" t="n">
        <x:v>56.3</x:v>
      </x:c>
      <x:c r="D45" t="str">
        <x:v>Masculino</x:v>
      </x:c>
      <x:c r="E45" t="n">
        <x:v>159</x:v>
      </x:c>
      <x:c r="F45" s="12" t="n">
        <x:v>63</x:v>
      </x:c>
      <x:c r="G45" s="12" t="n">
        <x:v>24.9</x:v>
      </x:c>
      <x:c r="H45" t="n">
        <x:v>120</x:v>
      </x:c>
      <x:c r="I45" t="n">
        <x:v>60</x:v>
      </x:c>
      <x:c r="J45" t="str">
        <x:v>normal</x:v>
      </x:c>
      <x:c r="K45" t="str">
        <x:v>normal</x:v>
      </x:c>
      <x:c r="L45" t="n">
        <x:v>0</x:v>
      </x:c>
      <x:c r="M45" t="n">
        <x:v>0</x:v>
      </x:c>
      <x:c r="N45" t="n">
        <x:v>1</x:v>
      </x:c>
      <x:c r="O45" t="n">
        <x:v>1</x:v>
      </x:c>
    </x:row>
    <x:row r="46">
      <x:c r="A46" t="n">
        <x:v>59</x:v>
      </x:c>
      <x:c r="B46" t="n">
        <x:v>19764</x:v>
      </x:c>
      <x:c r="C46" s="12" t="n">
        <x:v>54.1</x:v>
      </x:c>
      <x:c r="D46" t="str">
        <x:v>Feminino</x:v>
      </x:c>
      <x:c r="E46" t="n">
        <x:v>154</x:v>
      </x:c>
      <x:c r="F46" s="12" t="n">
        <x:v>50</x:v>
      </x:c>
      <x:c r="G46" s="12" t="n">
        <x:v>21.1</x:v>
      </x:c>
      <x:c r="H46" t="n">
        <x:v>170</x:v>
      </x:c>
      <x:c r="I46" t="n">
        <x:v>80</x:v>
      </x:c>
      <x:c r="J46" t="str">
        <x:v>muito_acima_do_normal</x:v>
      </x:c>
      <x:c r="K46" t="str">
        <x:v>normal</x:v>
      </x:c>
      <x:c r="L46" t="n">
        <x:v>0</x:v>
      </x:c>
      <x:c r="M46" t="n">
        <x:v>0</x:v>
      </x:c>
      <x:c r="N46" t="n">
        <x:v>1</x:v>
      </x:c>
      <x:c r="O46" t="n">
        <x:v>1</x:v>
      </x:c>
    </x:row>
    <x:row r="47">
      <x:c r="A47" t="n">
        <x:v>60</x:v>
      </x:c>
      <x:c r="B47" t="n">
        <x:v>17471</x:v>
      </x:c>
      <x:c r="C47" s="12" t="n">
        <x:v>47.8</x:v>
      </x:c>
      <x:c r="D47" t="str">
        <x:v>Feminino</x:v>
      </x:c>
      <x:c r="E47" t="n">
        <x:v>162</x:v>
      </x:c>
      <x:c r="F47" s="12" t="n">
        <x:v>64</x:v>
      </x:c>
      <x:c r="G47" s="12" t="n">
        <x:v>24.4</x:v>
      </x:c>
      <x:c r="H47" t="n">
        <x:v>140</x:v>
      </x:c>
      <x:c r="I47" t="n">
        <x:v>90</x:v>
      </x:c>
      <x:c r="J47" t="str">
        <x:v>normal</x:v>
      </x:c>
      <x:c r="K47" t="str">
        <x:v>normal</x:v>
      </x:c>
      <x:c r="L47" t="n">
        <x:v>0</x:v>
      </x:c>
      <x:c r="M47" t="n">
        <x:v>0</x:v>
      </x:c>
      <x:c r="N47" t="n">
        <x:v>1</x:v>
      </x:c>
      <x:c r="O47" t="n">
        <x:v>1</x:v>
      </x:c>
    </x:row>
    <x:row r="48">
      <x:c r="A48" t="n">
        <x:v>61</x:v>
      </x:c>
      <x:c r="B48" t="n">
        <x:v>18207</x:v>
      </x:c>
      <x:c r="C48" s="12" t="n">
        <x:v>49.8</x:v>
      </x:c>
      <x:c r="D48" t="str">
        <x:v>Feminino</x:v>
      </x:c>
      <x:c r="E48" t="n">
        <x:v>162</x:v>
      </x:c>
      <x:c r="F48" s="12" t="n">
        <x:v>107</x:v>
      </x:c>
      <x:c r="G48" s="12" t="n">
        <x:v>40.8</x:v>
      </x:c>
      <x:c r="H48" t="n">
        <x:v>150</x:v>
      </x:c>
      <x:c r="I48" t="n">
        <x:v>90</x:v>
      </x:c>
      <x:c r="J48" t="str">
        <x:v>acima_do_normal</x:v>
      </x:c>
      <x:c r="K48" t="str">
        <x:v>normal</x:v>
      </x:c>
      <x:c r="L48" t="n">
        <x:v>0</x:v>
      </x:c>
      <x:c r="M48" t="n">
        <x:v>0</x:v>
      </x:c>
      <x:c r="N48" t="n">
        <x:v>1</x:v>
      </x:c>
      <x:c r="O48" t="n">
        <x:v>1</x:v>
      </x:c>
    </x:row>
    <x:row r="49">
      <x:c r="A49" t="n">
        <x:v>62</x:v>
      </x:c>
      <x:c r="B49" t="n">
        <x:v>18535</x:v>
      </x:c>
      <x:c r="C49" s="12" t="n">
        <x:v>50.7</x:v>
      </x:c>
      <x:c r="D49" t="str">
        <x:v>Masculino</x:v>
      </x:c>
      <x:c r="E49" t="n">
        <x:v>168</x:v>
      </x:c>
      <x:c r="F49" s="12" t="n">
        <x:v>69</x:v>
      </x:c>
      <x:c r="G49" s="12" t="n">
        <x:v>24.4</x:v>
      </x:c>
      <x:c r="H49" t="n">
        <x:v>120</x:v>
      </x:c>
      <x:c r="I49" t="n">
        <x:v>80</x:v>
      </x:c>
      <x:c r="J49" t="str">
        <x:v>normal</x:v>
      </x:c>
      <x:c r="K49" t="str">
        <x:v>normal</x:v>
      </x:c>
      <x:c r="L49" t="n">
        <x:v>0</x:v>
      </x:c>
      <x:c r="M49" t="n">
        <x:v>0</x:v>
      </x:c>
      <x:c r="N49" t="n">
        <x:v>0</x:v>
      </x:c>
      <x:c r="O49" t="n">
        <x:v>0</x:v>
      </x:c>
    </x:row>
    <x:row r="50">
      <x:c r="A50" t="n">
        <x:v>63</x:v>
      </x:c>
      <x:c r="B50" t="n">
        <x:v>16864</x:v>
      </x:c>
      <x:c r="C50" s="12" t="n">
        <x:v>46.2</x:v>
      </x:c>
      <x:c r="D50" t="str">
        <x:v>Masculino</x:v>
      </x:c>
      <x:c r="E50" t="n">
        <x:v>175</x:v>
      </x:c>
      <x:c r="F50" s="12" t="n">
        <x:v>70</x:v>
      </x:c>
      <x:c r="G50" s="12" t="n">
        <x:v>22.9</x:v>
      </x:c>
      <x:c r="H50" t="n">
        <x:v>120</x:v>
      </x:c>
      <x:c r="I50" t="n">
        <x:v>80</x:v>
      </x:c>
      <x:c r="J50" t="str">
        <x:v>acima_do_normal</x:v>
      </x:c>
      <x:c r="K50" t="str">
        <x:v>normal</x:v>
      </x:c>
      <x:c r="L50" t="n">
        <x:v>0</x:v>
      </x:c>
      <x:c r="M50" t="n">
        <x:v>0</x:v>
      </x:c>
      <x:c r="N50" t="n">
        <x:v>1</x:v>
      </x:c>
      <x:c r="O50" t="n">
        <x:v>0</x:v>
      </x:c>
    </x:row>
    <x:row r="51">
      <x:c r="A51" t="n">
        <x:v>64</x:v>
      </x:c>
      <x:c r="B51" t="n">
        <x:v>16045</x:v>
      </x:c>
      <x:c r="C51" s="12" t="n">
        <x:v>43.9</x:v>
      </x:c>
      <x:c r="D51" t="str">
        <x:v>Feminino</x:v>
      </x:c>
      <x:c r="E51" t="n">
        <x:v>170</x:v>
      </x:c>
      <x:c r="F51" s="12" t="n">
        <x:v>69</x:v>
      </x:c>
      <x:c r="G51" s="12" t="n">
        <x:v>23.9</x:v>
      </x:c>
      <x:c r="H51" t="n">
        <x:v>120</x:v>
      </x:c>
      <x:c r="I51" t="n">
        <x:v>70</x:v>
      </x:c>
      <x:c r="J51" t="str">
        <x:v>normal</x:v>
      </x:c>
      <x:c r="K51" t="str">
        <x:v>normal</x:v>
      </x:c>
      <x:c r="L51" t="n">
        <x:v>0</x:v>
      </x:c>
      <x:c r="M51" t="n">
        <x:v>0</x:v>
      </x:c>
      <x:c r="N51" t="n">
        <x:v>1</x:v>
      </x:c>
      <x:c r="O51" t="n">
        <x:v>0</x:v>
      </x:c>
    </x:row>
    <x:row r="52">
      <x:c r="A52" t="n">
        <x:v>65</x:v>
      </x:c>
      <x:c r="B52" t="n">
        <x:v>18238</x:v>
      </x:c>
      <x:c r="C52" s="12" t="n">
        <x:v>49.9</x:v>
      </x:c>
      <x:c r="D52" t="str">
        <x:v>Feminino</x:v>
      </x:c>
      <x:c r="E52" t="n">
        <x:v>160</x:v>
      </x:c>
      <x:c r="F52" s="12" t="n">
        <x:v>75</x:v>
      </x:c>
      <x:c r="G52" s="12" t="n">
        <x:v>29.3</x:v>
      </x:c>
      <x:c r="H52" t="n">
        <x:v>100</x:v>
      </x:c>
      <x:c r="I52" t="n">
        <x:v>60</x:v>
      </x:c>
      <x:c r="J52" t="str">
        <x:v>normal</x:v>
      </x:c>
      <x:c r="K52" t="str">
        <x:v>normal</x:v>
      </x:c>
      <x:c r="L52" t="n">
        <x:v>0</x:v>
      </x:c>
      <x:c r="M52" t="n">
        <x:v>0</x:v>
      </x:c>
      <x:c r="N52" t="n">
        <x:v>0</x:v>
      </x:c>
      <x:c r="O52" t="n">
        <x:v>0</x:v>
      </x:c>
    </x:row>
    <x:row r="53">
      <x:c r="A53" t="n">
        <x:v>66</x:v>
      </x:c>
      <x:c r="B53" t="n">
        <x:v>18338</x:v>
      </x:c>
      <x:c r="C53" s="12" t="n">
        <x:v>50.2</x:v>
      </x:c>
      <x:c r="D53" t="str">
        <x:v>Feminino</x:v>
      </x:c>
      <x:c r="E53" t="n">
        <x:v>169</x:v>
      </x:c>
      <x:c r="F53" s="12" t="n">
        <x:v>84</x:v>
      </x:c>
      <x:c r="G53" s="12" t="n">
        <x:v>29.4</x:v>
      </x:c>
      <x:c r="H53" t="n">
        <x:v>150</x:v>
      </x:c>
      <x:c r="I53" t="n">
        <x:v>100</x:v>
      </x:c>
      <x:c r="J53" t="str">
        <x:v>normal</x:v>
      </x:c>
      <x:c r="K53" t="str">
        <x:v>normal</x:v>
      </x:c>
      <x:c r="L53" t="n">
        <x:v>0</x:v>
      </x:c>
      <x:c r="M53" t="n">
        <x:v>0</x:v>
      </x:c>
      <x:c r="N53" t="n">
        <x:v>1</x:v>
      </x:c>
      <x:c r="O53" t="n">
        <x:v>1</x:v>
      </x:c>
    </x:row>
    <x:row r="54">
      <x:c r="A54" t="n">
        <x:v>67</x:v>
      </x:c>
      <x:c r="B54" t="n">
        <x:v>19575</x:v>
      </x:c>
      <x:c r="C54" s="12" t="n">
        <x:v>53.6</x:v>
      </x:c>
      <x:c r="D54" t="str">
        <x:v>Masculino</x:v>
      </x:c>
      <x:c r="E54" t="n">
        <x:v>166</x:v>
      </x:c>
      <x:c r="F54" s="12" t="n">
        <x:v>85</x:v>
      </x:c>
      <x:c r="G54" s="12" t="n">
        <x:v>30.8</x:v>
      </x:c>
      <x:c r="H54" t="n">
        <x:v>150</x:v>
      </x:c>
      <x:c r="I54" t="n">
        <x:v>100</x:v>
      </x:c>
      <x:c r="J54" t="str">
        <x:v>normal</x:v>
      </x:c>
      <x:c r="K54" t="str">
        <x:v>normal</x:v>
      </x:c>
      <x:c r="L54" t="n">
        <x:v>0</x:v>
      </x:c>
      <x:c r="M54" t="n">
        <x:v>0</x:v>
      </x:c>
      <x:c r="N54" t="n">
        <x:v>1</x:v>
      </x:c>
      <x:c r="O54" t="n">
        <x:v>1</x:v>
      </x:c>
    </x:row>
    <x:row r="55">
      <x:c r="A55" t="n">
        <x:v>68</x:v>
      </x:c>
      <x:c r="B55" t="n">
        <x:v>14507</x:v>
      </x:c>
      <x:c r="C55" s="12" t="n">
        <x:v>39.7</x:v>
      </x:c>
      <x:c r="D55" t="str">
        <x:v>Feminino</x:v>
      </x:c>
      <x:c r="E55" t="n">
        <x:v>165</x:v>
      </x:c>
      <x:c r="F55" s="12" t="n">
        <x:v>77</x:v>
      </x:c>
      <x:c r="G55" s="12" t="n">
        <x:v>28.3</x:v>
      </x:c>
      <x:c r="H55" t="n">
        <x:v>135</x:v>
      </x:c>
      <x:c r="I55" t="n">
        <x:v>90</x:v>
      </x:c>
      <x:c r="J55" t="str">
        <x:v>muito_acima_do_normal</x:v>
      </x:c>
      <x:c r="K55" t="str">
        <x:v>muito_acima_do_normal</x:v>
      </x:c>
      <x:c r="L55" t="n">
        <x:v>0</x:v>
      </x:c>
      <x:c r="M55" t="n">
        <x:v>0</x:v>
      </x:c>
      <x:c r="N55" t="n">
        <x:v>1</x:v>
      </x:c>
      <x:c r="O55" t="n">
        <x:v>1</x:v>
      </x:c>
    </x:row>
    <x:row r="56">
      <x:c r="A56" t="n">
        <x:v>69</x:v>
      </x:c>
      <x:c r="B56" t="n">
        <x:v>19679</x:v>
      </x:c>
      <x:c r="C56" s="12" t="n">
        <x:v>53.9</x:v>
      </x:c>
      <x:c r="D56" t="str">
        <x:v>Feminino</x:v>
      </x:c>
      <x:c r="E56" t="n">
        <x:v>152</x:v>
      </x:c>
      <x:c r="F56" s="12" t="n">
        <x:v>79</x:v>
      </x:c>
      <x:c r="G56" s="12" t="n">
        <x:v>34.2</x:v>
      </x:c>
      <x:c r="H56" t="n">
        <x:v>130</x:v>
      </x:c>
      <x:c r="I56" t="n">
        <x:v>90</x:v>
      </x:c>
      <x:c r="J56" t="str">
        <x:v>normal</x:v>
      </x:c>
      <x:c r="K56" t="str">
        <x:v>normal</x:v>
      </x:c>
      <x:c r="L56" t="n">
        <x:v>0</x:v>
      </x:c>
      <x:c r="M56" t="n">
        <x:v>0</x:v>
      </x:c>
      <x:c r="N56" t="n">
        <x:v>1</x:v>
      </x:c>
      <x:c r="O56" t="n">
        <x:v>1</x:v>
      </x:c>
    </x:row>
    <x:row r="57">
      <x:c r="A57" t="n">
        <x:v>70</x:v>
      </x:c>
      <x:c r="B57" t="n">
        <x:v>21787</x:v>
      </x:c>
      <x:c r="C57" s="12" t="n">
        <x:v>59.6</x:v>
      </x:c>
      <x:c r="D57" t="str">
        <x:v>Masculino</x:v>
      </x:c>
      <x:c r="E57" t="n">
        <x:v>165</x:v>
      </x:c>
      <x:c r="F57" s="12" t="n">
        <x:v>73</x:v>
      </x:c>
      <x:c r="G57" s="12" t="n">
        <x:v>26.8</x:v>
      </x:c>
      <x:c r="H57" t="n">
        <x:v>125</x:v>
      </x:c>
      <x:c r="I57" t="n">
        <x:v>90</x:v>
      </x:c>
      <x:c r="J57" t="str">
        <x:v>normal</x:v>
      </x:c>
      <x:c r="K57" t="str">
        <x:v>normal</x:v>
      </x:c>
      <x:c r="L57" t="n">
        <x:v>0</x:v>
      </x:c>
      <x:c r="M57" t="n">
        <x:v>0</x:v>
      </x:c>
      <x:c r="N57" t="n">
        <x:v>0</x:v>
      </x:c>
      <x:c r="O57" t="n">
        <x:v>0</x:v>
      </x:c>
    </x:row>
    <x:row r="58">
      <x:c r="A58" t="n">
        <x:v>71</x:v>
      </x:c>
      <x:c r="B58" t="n">
        <x:v>17407</x:v>
      </x:c>
      <x:c r="C58" s="12" t="n">
        <x:v>47.7</x:v>
      </x:c>
      <x:c r="D58" t="str">
        <x:v>Feminino</x:v>
      </x:c>
      <x:c r="E58" t="n">
        <x:v>171</x:v>
      </x:c>
      <x:c r="F58" s="12" t="n">
        <x:v>76</x:v>
      </x:c>
      <x:c r="G58" s="12" t="n">
        <x:v>26</x:v>
      </x:c>
      <x:c r="H58" t="n">
        <x:v>90</x:v>
      </x:c>
      <x:c r="I58" t="n">
        <x:v>60</x:v>
      </x:c>
      <x:c r="J58" t="str">
        <x:v>normal</x:v>
      </x:c>
      <x:c r="K58" t="str">
        <x:v>acima_do_normal</x:v>
      </x:c>
      <x:c r="L58" t="n">
        <x:v>0</x:v>
      </x:c>
      <x:c r="M58" t="n">
        <x:v>0</x:v>
      </x:c>
      <x:c r="N58" t="n">
        <x:v>1</x:v>
      </x:c>
      <x:c r="O58" t="n">
        <x:v>0</x:v>
      </x:c>
    </x:row>
    <x:row r="59">
      <x:c r="A59" t="n">
        <x:v>72</x:v>
      </x:c>
      <x:c r="B59" t="n">
        <x:v>22748</x:v>
      </x:c>
      <x:c r="C59" s="12" t="n">
        <x:v>62.3</x:v>
      </x:c>
      <x:c r="D59" t="str">
        <x:v>Feminino</x:v>
      </x:c>
      <x:c r="E59" t="n">
        <x:v>165</x:v>
      </x:c>
      <x:c r="F59" s="12" t="n">
        <x:v>90</x:v>
      </x:c>
      <x:c r="G59" s="12" t="n">
        <x:v>33.1</x:v>
      </x:c>
      <x:c r="H59" t="n">
        <x:v>120</x:v>
      </x:c>
      <x:c r="I59" t="n">
        <x:v>80</x:v>
      </x:c>
      <x:c r="J59" t="str">
        <x:v>normal</x:v>
      </x:c>
      <x:c r="K59" t="str">
        <x:v>normal</x:v>
      </x:c>
      <x:c r="L59" t="n">
        <x:v>0</x:v>
      </x:c>
      <x:c r="M59" t="n">
        <x:v>0</x:v>
      </x:c>
      <x:c r="N59" t="n">
        <x:v>0</x:v>
      </x:c>
      <x:c r="O59" t="n">
        <x:v>1</x:v>
      </x:c>
    </x:row>
    <x:row r="60">
      <x:c r="A60" t="n">
        <x:v>73</x:v>
      </x:c>
      <x:c r="B60" t="n">
        <x:v>15901</x:v>
      </x:c>
      <x:c r="C60" s="12" t="n">
        <x:v>43.5</x:v>
      </x:c>
      <x:c r="D60" t="str">
        <x:v>Masculino</x:v>
      </x:c>
      <x:c r="E60" t="n">
        <x:v>172</x:v>
      </x:c>
      <x:c r="F60" s="12" t="n">
        <x:v>84</x:v>
      </x:c>
      <x:c r="G60" s="12" t="n">
        <x:v>28.4</x:v>
      </x:c>
      <x:c r="H60" t="n">
        <x:v>140</x:v>
      </x:c>
      <x:c r="I60" t="n">
        <x:v>90</x:v>
      </x:c>
      <x:c r="J60" t="str">
        <x:v>normal</x:v>
      </x:c>
      <x:c r="K60" t="str">
        <x:v>normal</x:v>
      </x:c>
      <x:c r="L60" t="n">
        <x:v>1</x:v>
      </x:c>
      <x:c r="M60" t="n">
        <x:v>0</x:v>
      </x:c>
      <x:c r="N60" t="n">
        <x:v>1</x:v>
      </x:c>
      <x:c r="O60" t="n">
        <x:v>1</x:v>
      </x:c>
    </x:row>
    <x:row r="61">
      <x:c r="A61" t="n">
        <x:v>74</x:v>
      </x:c>
      <x:c r="B61" t="n">
        <x:v>20431</x:v>
      </x:c>
      <x:c r="C61" s="12" t="n">
        <x:v>55.9</x:v>
      </x:c>
      <x:c r="D61" t="str">
        <x:v>Feminino</x:v>
      </x:c>
      <x:c r="E61" t="n">
        <x:v>164</x:v>
      </x:c>
      <x:c r="F61" s="12" t="n">
        <x:v>64</x:v>
      </x:c>
      <x:c r="G61" s="12" t="n">
        <x:v>23.8</x:v>
      </x:c>
      <x:c r="H61" t="n">
        <x:v>180</x:v>
      </x:c>
      <x:c r="I61" t="n">
        <x:v>90</x:v>
      </x:c>
      <x:c r="J61" t="str">
        <x:v>normal</x:v>
      </x:c>
      <x:c r="K61" t="str">
        <x:v>normal</x:v>
      </x:c>
      <x:c r="L61" t="n">
        <x:v>1</x:v>
      </x:c>
      <x:c r="M61" t="n">
        <x:v>0</x:v>
      </x:c>
      <x:c r="N61" t="n">
        <x:v>1</x:v>
      </x:c>
      <x:c r="O61" t="n">
        <x:v>1</x:v>
      </x:c>
    </x:row>
    <x:row r="62">
      <x:c r="A62" t="n">
        <x:v>77</x:v>
      </x:c>
      <x:c r="B62" t="n">
        <x:v>19105</x:v>
      </x:c>
      <x:c r="C62" s="12" t="n">
        <x:v>52.3</x:v>
      </x:c>
      <x:c r="D62" t="str">
        <x:v>Feminino</x:v>
      </x:c>
      <x:c r="E62" t="n">
        <x:v>159</x:v>
      </x:c>
      <x:c r="F62" s="12" t="n">
        <x:v>58</x:v>
      </x:c>
      <x:c r="G62" s="12" t="n">
        <x:v>22.9</x:v>
      </x:c>
      <x:c r="H62" t="n">
        <x:v>110</x:v>
      </x:c>
      <x:c r="I62" t="n">
        <x:v>70</x:v>
      </x:c>
      <x:c r="J62" t="str">
        <x:v>normal</x:v>
      </x:c>
      <x:c r="K62" t="str">
        <x:v>normal</x:v>
      </x:c>
      <x:c r="L62" t="n">
        <x:v>0</x:v>
      </x:c>
      <x:c r="M62" t="n">
        <x:v>0</x:v>
      </x:c>
      <x:c r="N62" t="n">
        <x:v>1</x:v>
      </x:c>
      <x:c r="O62" t="n">
        <x:v>0</x:v>
      </x:c>
    </x:row>
    <x:row r="63">
      <x:c r="A63" t="n">
        <x:v>79</x:v>
      </x:c>
      <x:c r="B63" t="n">
        <x:v>20960</x:v>
      </x:c>
      <x:c r="C63" s="12" t="n">
        <x:v>57.4</x:v>
      </x:c>
      <x:c r="D63" t="str">
        <x:v>Masculino</x:v>
      </x:c>
      <x:c r="E63" t="n">
        <x:v>165</x:v>
      </x:c>
      <x:c r="F63" s="12" t="n">
        <x:v>75</x:v>
      </x:c>
      <x:c r="G63" s="12" t="n">
        <x:v>27.5</x:v>
      </x:c>
      <x:c r="H63" t="n">
        <x:v>180</x:v>
      </x:c>
      <x:c r="I63" t="n">
        <x:v>90</x:v>
      </x:c>
      <x:c r="J63" t="str">
        <x:v>muito_acima_do_normal</x:v>
      </x:c>
      <x:c r="K63" t="str">
        <x:v>normal</x:v>
      </x:c>
      <x:c r="L63" t="n">
        <x:v>0</x:v>
      </x:c>
      <x:c r="M63" t="n">
        <x:v>0</x:v>
      </x:c>
      <x:c r="N63" t="n">
        <x:v>1</x:v>
      </x:c>
      <x:c r="O63" t="n">
        <x:v>1</x:v>
      </x:c>
    </x:row>
    <x:row r="64">
      <x:c r="A64" t="n">
        <x:v>81</x:v>
      </x:c>
      <x:c r="B64" t="n">
        <x:v>20330</x:v>
      </x:c>
      <x:c r="C64" s="12" t="n">
        <x:v>55.7</x:v>
      </x:c>
      <x:c r="D64" t="str">
        <x:v>Masculino</x:v>
      </x:c>
      <x:c r="E64" t="n">
        <x:v>187</x:v>
      </x:c>
      <x:c r="F64" s="12" t="n">
        <x:v>115</x:v>
      </x:c>
      <x:c r="G64" s="12" t="n">
        <x:v>32.9</x:v>
      </x:c>
      <x:c r="H64" t="n">
        <x:v>130</x:v>
      </x:c>
      <x:c r="I64" t="n">
        <x:v>90</x:v>
      </x:c>
      <x:c r="J64" t="str">
        <x:v>normal</x:v>
      </x:c>
      <x:c r="K64" t="str">
        <x:v>normal</x:v>
      </x:c>
      <x:c r="L64" t="n">
        <x:v>0</x:v>
      </x:c>
      <x:c r="M64" t="n">
        <x:v>1</x:v>
      </x:c>
      <x:c r="N64" t="n">
        <x:v>1</x:v>
      </x:c>
      <x:c r="O64" t="n">
        <x:v>0</x:v>
      </x:c>
    </x:row>
    <x:row r="65">
      <x:c r="A65" t="n">
        <x:v>83</x:v>
      </x:c>
      <x:c r="B65" t="n">
        <x:v>22587</x:v>
      </x:c>
      <x:c r="C65" s="12" t="n">
        <x:v>61.8</x:v>
      </x:c>
      <x:c r="D65" t="str">
        <x:v>Feminino</x:v>
      </x:c>
      <x:c r="E65" t="n">
        <x:v>170</x:v>
      </x:c>
      <x:c r="F65" s="12" t="n">
        <x:v>85</x:v>
      </x:c>
      <x:c r="G65" s="12" t="n">
        <x:v>29.4</x:v>
      </x:c>
      <x:c r="H65" t="n">
        <x:v>120</x:v>
      </x:c>
      <x:c r="I65" t="n">
        <x:v>80</x:v>
      </x:c>
      <x:c r="J65" t="str">
        <x:v>normal</x:v>
      </x:c>
      <x:c r="K65" t="str">
        <x:v>normal</x:v>
      </x:c>
      <x:c r="L65" t="n">
        <x:v>0</x:v>
      </x:c>
      <x:c r="M65" t="n">
        <x:v>0</x:v>
      </x:c>
      <x:c r="N65" t="n">
        <x:v>1</x:v>
      </x:c>
      <x:c r="O65" t="n">
        <x:v>0</x:v>
      </x:c>
    </x:row>
    <x:row r="66">
      <x:c r="A66" t="n">
        <x:v>86</x:v>
      </x:c>
      <x:c r="B66" t="n">
        <x:v>20649</x:v>
      </x:c>
      <x:c r="C66" s="12" t="n">
        <x:v>56.5</x:v>
      </x:c>
      <x:c r="D66" t="str">
        <x:v>Masculino</x:v>
      </x:c>
      <x:c r="E66" t="n">
        <x:v>169</x:v>
      </x:c>
      <x:c r="F66" s="12" t="n">
        <x:v>71</x:v>
      </x:c>
      <x:c r="G66" s="12" t="n">
        <x:v>24.9</x:v>
      </x:c>
      <x:c r="H66" t="n">
        <x:v>120</x:v>
      </x:c>
      <x:c r="I66" t="n">
        <x:v>80</x:v>
      </x:c>
      <x:c r="J66" t="str">
        <x:v>normal</x:v>
      </x:c>
      <x:c r="K66" t="str">
        <x:v>normal</x:v>
      </x:c>
      <x:c r="L66" t="n">
        <x:v>0</x:v>
      </x:c>
      <x:c r="M66" t="n">
        <x:v>0</x:v>
      </x:c>
      <x:c r="N66" t="n">
        <x:v>1</x:v>
      </x:c>
      <x:c r="O66" t="n">
        <x:v>1</x:v>
      </x:c>
    </x:row>
    <x:row r="67">
      <x:c r="A67" t="n">
        <x:v>87</x:v>
      </x:c>
      <x:c r="B67" t="n">
        <x:v>21752</x:v>
      </x:c>
      <x:c r="C67" s="12" t="n">
        <x:v>59.6</x:v>
      </x:c>
      <x:c r="D67" t="str">
        <x:v>Feminino</x:v>
      </x:c>
      <x:c r="E67" t="n">
        <x:v>148</x:v>
      </x:c>
      <x:c r="F67" s="12" t="n">
        <x:v>80</x:v>
      </x:c>
      <x:c r="G67" s="12" t="n">
        <x:v>36.5</x:v>
      </x:c>
      <x:c r="H67" t="n">
        <x:v>130</x:v>
      </x:c>
      <x:c r="I67" t="n">
        <x:v>90</x:v>
      </x:c>
      <x:c r="J67" t="str">
        <x:v>normal</x:v>
      </x:c>
      <x:c r="K67" t="str">
        <x:v>normal</x:v>
      </x:c>
      <x:c r="L67" t="n">
        <x:v>0</x:v>
      </x:c>
      <x:c r="M67" t="n">
        <x:v>0</x:v>
      </x:c>
      <x:c r="N67" t="n">
        <x:v>1</x:v>
      </x:c>
      <x:c r="O67" t="n">
        <x:v>1</x:v>
      </x:c>
    </x:row>
    <x:row r="68">
      <x:c r="A68" t="n">
        <x:v>88</x:v>
      </x:c>
      <x:c r="B68" t="n">
        <x:v>19148</x:v>
      </x:c>
      <x:c r="C68" s="12" t="n">
        <x:v>52.4</x:v>
      </x:c>
      <x:c r="D68" t="str">
        <x:v>Masculino</x:v>
      </x:c>
      <x:c r="E68" t="n">
        <x:v>170</x:v>
      </x:c>
      <x:c r="F68" s="12" t="n">
        <x:v>69</x:v>
      </x:c>
      <x:c r="G68" s="12" t="n">
        <x:v>23.9</x:v>
      </x:c>
      <x:c r="H68" t="n">
        <x:v>130</x:v>
      </x:c>
      <x:c r="I68" t="n">
        <x:v>80</x:v>
      </x:c>
      <x:c r="J68" t="str">
        <x:v>normal</x:v>
      </x:c>
      <x:c r="K68" t="str">
        <x:v>normal</x:v>
      </x:c>
      <x:c r="L68" t="n">
        <x:v>0</x:v>
      </x:c>
      <x:c r="M68" t="n">
        <x:v>0</x:v>
      </x:c>
      <x:c r="N68" t="n">
        <x:v>1</x:v>
      </x:c>
      <x:c r="O68" t="n">
        <x:v>0</x:v>
      </x:c>
    </x:row>
    <x:row r="69">
      <x:c r="A69" t="n">
        <x:v>90</x:v>
      </x:c>
      <x:c r="B69" t="n">
        <x:v>22099</x:v>
      </x:c>
      <x:c r="C69" s="12" t="n">
        <x:v>60.5</x:v>
      </x:c>
      <x:c r="D69" t="str">
        <x:v>Masculino</x:v>
      </x:c>
      <x:c r="E69" t="n">
        <x:v>171</x:v>
      </x:c>
      <x:c r="F69" s="12" t="n">
        <x:v>97</x:v>
      </x:c>
      <x:c r="G69" s="12" t="n">
        <x:v>33.2</x:v>
      </x:c>
      <x:c r="H69" t="n">
        <x:v>150</x:v>
      </x:c>
      <x:c r="I69" t="n">
        <x:v>100</x:v>
      </x:c>
      <x:c r="J69" t="str">
        <x:v>muito_acima_do_normal</x:v>
      </x:c>
      <x:c r="K69" t="str">
        <x:v>normal</x:v>
      </x:c>
      <x:c r="L69" t="n">
        <x:v>1</x:v>
      </x:c>
      <x:c r="M69" t="n">
        <x:v>0</x:v>
      </x:c>
      <x:c r="N69" t="n">
        <x:v>1</x:v>
      </x:c>
      <x:c r="O69" t="n">
        <x:v>1</x:v>
      </x:c>
    </x:row>
    <x:row r="70">
      <x:c r="A70" t="n">
        <x:v>92</x:v>
      </x:c>
      <x:c r="B70" t="n">
        <x:v>19739</x:v>
      </x:c>
      <x:c r="C70" s="12" t="n">
        <x:v>54</x:v>
      </x:c>
      <x:c r="D70" t="str">
        <x:v>Feminino</x:v>
      </x:c>
      <x:c r="E70" t="n">
        <x:v>152</x:v>
      </x:c>
      <x:c r="F70" s="12" t="n">
        <x:v>76</x:v>
      </x:c>
      <x:c r="G70" s="12" t="n">
        <x:v>32.9</x:v>
      </x:c>
      <x:c r="H70" t="n">
        <x:v>160</x:v>
      </x:c>
      <x:c r="I70" t="n">
        <x:v>100</x:v>
      </x:c>
      <x:c r="J70" t="str">
        <x:v>normal</x:v>
      </x:c>
      <x:c r="K70" t="str">
        <x:v>acima_do_normal</x:v>
      </x:c>
      <x:c r="L70" t="n">
        <x:v>0</x:v>
      </x:c>
      <x:c r="M70" t="n">
        <x:v>0</x:v>
      </x:c>
      <x:c r="N70" t="n">
        <x:v>1</x:v>
      </x:c>
      <x:c r="O70" t="n">
        <x:v>1</x:v>
      </x:c>
    </x:row>
    <x:row r="71">
      <x:c r="A71" t="n">
        <x:v>94</x:v>
      </x:c>
      <x:c r="B71" t="n">
        <x:v>20882</x:v>
      </x:c>
      <x:c r="C71" s="12" t="n">
        <x:v>57.2</x:v>
      </x:c>
      <x:c r="D71" t="str">
        <x:v>Feminino</x:v>
      </x:c>
      <x:c r="E71" t="n">
        <x:v>157</x:v>
      </x:c>
      <x:c r="F71" s="12" t="n">
        <x:v>53</x:v>
      </x:c>
      <x:c r="G71" s="12" t="n">
        <x:v>21.5</x:v>
      </x:c>
      <x:c r="H71" t="n">
        <x:v>110</x:v>
      </x:c>
      <x:c r="I71" t="n">
        <x:v>70</x:v>
      </x:c>
      <x:c r="J71" t="str">
        <x:v>normal</x:v>
      </x:c>
      <x:c r="K71" t="str">
        <x:v>normal</x:v>
      </x:c>
      <x:c r="L71" t="n">
        <x:v>0</x:v>
      </x:c>
      <x:c r="M71" t="n">
        <x:v>0</x:v>
      </x:c>
      <x:c r="N71" t="n">
        <x:v>0</x:v>
      </x:c>
      <x:c r="O71" t="n">
        <x:v>1</x:v>
      </x:c>
    </x:row>
    <x:row r="72">
      <x:c r="A72" t="n">
        <x:v>95</x:v>
      </x:c>
      <x:c r="B72" t="n">
        <x:v>23589</x:v>
      </x:c>
      <x:c r="C72" s="12" t="n">
        <x:v>64.6</x:v>
      </x:c>
      <x:c r="D72" t="str">
        <x:v>Feminino</x:v>
      </x:c>
      <x:c r="E72" t="n">
        <x:v>155</x:v>
      </x:c>
      <x:c r="F72" s="12" t="n">
        <x:v>57</x:v>
      </x:c>
      <x:c r="G72" s="12" t="n">
        <x:v>23.7</x:v>
      </x:c>
      <x:c r="H72" t="n">
        <x:v>120</x:v>
      </x:c>
      <x:c r="I72" t="n">
        <x:v>80</x:v>
      </x:c>
      <x:c r="J72" t="str">
        <x:v>normal</x:v>
      </x:c>
      <x:c r="K72" t="str">
        <x:v>normal</x:v>
      </x:c>
      <x:c r="L72" t="n">
        <x:v>0</x:v>
      </x:c>
      <x:c r="M72" t="n">
        <x:v>0</x:v>
      </x:c>
      <x:c r="N72" t="n">
        <x:v>1</x:v>
      </x:c>
      <x:c r="O72" t="n">
        <x:v>1</x:v>
      </x:c>
    </x:row>
    <x:row r="73">
      <x:c r="A73" t="n">
        <x:v>96</x:v>
      </x:c>
      <x:c r="B73" t="n">
        <x:v>21874</x:v>
      </x:c>
      <x:c r="C73" s="12" t="n">
        <x:v>59.9</x:v>
      </x:c>
      <x:c r="D73" t="str">
        <x:v>Masculino</x:v>
      </x:c>
      <x:c r="E73" t="n">
        <x:v>179</x:v>
      </x:c>
      <x:c r="F73" s="12" t="n">
        <x:v>95</x:v>
      </x:c>
      <x:c r="G73" s="12" t="n">
        <x:v>29.6</x:v>
      </x:c>
      <x:c r="H73" t="n">
        <x:v>150</x:v>
      </x:c>
      <x:c r="I73" t="n">
        <x:v>90</x:v>
      </x:c>
      <x:c r="J73" t="str">
        <x:v>normal</x:v>
      </x:c>
      <x:c r="K73" t="str">
        <x:v>normal</x:v>
      </x:c>
      <x:c r="L73" t="n">
        <x:v>0</x:v>
      </x:c>
      <x:c r="M73" t="n">
        <x:v>0</x:v>
      </x:c>
      <x:c r="N73" t="n">
        <x:v>1</x:v>
      </x:c>
      <x:c r="O73" t="n">
        <x:v>1</x:v>
      </x:c>
    </x:row>
    <x:row r="74">
      <x:c r="A74" t="n">
        <x:v>97</x:v>
      </x:c>
      <x:c r="B74" t="n">
        <x:v>23433</x:v>
      </x:c>
      <x:c r="C74" s="12" t="n">
        <x:v>64.2</x:v>
      </x:c>
      <x:c r="D74" t="str">
        <x:v>Feminino</x:v>
      </x:c>
      <x:c r="E74" t="n">
        <x:v>156</x:v>
      </x:c>
      <x:c r="F74" s="12" t="n">
        <x:v>58</x:v>
      </x:c>
      <x:c r="G74" s="12" t="n">
        <x:v>23.8</x:v>
      </x:c>
      <x:c r="H74" t="n">
        <x:v>110</x:v>
      </x:c>
      <x:c r="I74" t="n">
        <x:v>70</x:v>
      </x:c>
      <x:c r="J74" t="str">
        <x:v>normal</x:v>
      </x:c>
      <x:c r="K74" t="str">
        <x:v>normal</x:v>
      </x:c>
      <x:c r="L74" t="n">
        <x:v>0</x:v>
      </x:c>
      <x:c r="M74" t="n">
        <x:v>0</x:v>
      </x:c>
      <x:c r="N74" t="n">
        <x:v>1</x:v>
      </x:c>
      <x:c r="O74" t="n">
        <x:v>0</x:v>
      </x:c>
    </x:row>
    <x:row r="75">
      <x:c r="A75" t="n">
        <x:v>100</x:v>
      </x:c>
      <x:c r="B75" t="n">
        <x:v>21934</x:v>
      </x:c>
      <x:c r="C75" s="12" t="n">
        <x:v>60.1</x:v>
      </x:c>
      <x:c r="D75" t="str">
        <x:v>Feminino</x:v>
      </x:c>
      <x:c r="E75" t="n">
        <x:v>157</x:v>
      </x:c>
      <x:c r="F75" s="12" t="n">
        <x:v>77</x:v>
      </x:c>
      <x:c r="G75" s="12" t="n">
        <x:v>31.2</x:v>
      </x:c>
      <x:c r="H75" t="n">
        <x:v>140</x:v>
      </x:c>
      <x:c r="I75" t="n">
        <x:v>90</x:v>
      </x:c>
      <x:c r="J75" t="str">
        <x:v>normal</x:v>
      </x:c>
      <x:c r="K75" t="str">
        <x:v>normal</x:v>
      </x:c>
      <x:c r="L75" t="n">
        <x:v>0</x:v>
      </x:c>
      <x:c r="M75" t="n">
        <x:v>0</x:v>
      </x:c>
      <x:c r="N75" t="n">
        <x:v>1</x:v>
      </x:c>
      <x:c r="O75" t="n">
        <x:v>1</x:v>
      </x:c>
    </x:row>
    <x:row r="76">
      <x:c r="A76" t="n">
        <x:v>103</x:v>
      </x:c>
      <x:c r="B76" t="n">
        <x:v>16039</x:v>
      </x:c>
      <x:c r="C76" s="12" t="n">
        <x:v>43.9</x:v>
      </x:c>
      <x:c r="D76" t="str">
        <x:v>Masculino</x:v>
      </x:c>
      <x:c r="E76" t="n">
        <x:v>180</x:v>
      </x:c>
      <x:c r="F76" s="12" t="n">
        <x:v>90</x:v>
      </x:c>
      <x:c r="G76" s="12" t="n">
        <x:v>27.8</x:v>
      </x:c>
      <x:c r="H76" t="n">
        <x:v>140</x:v>
      </x:c>
      <x:c r="I76" t="n">
        <x:v>90</x:v>
      </x:c>
      <x:c r="J76" t="str">
        <x:v>acima_do_normal</x:v>
      </x:c>
      <x:c r="K76" t="str">
        <x:v>acima_do_normal</x:v>
      </x:c>
      <x:c r="L76" t="n">
        <x:v>0</x:v>
      </x:c>
      <x:c r="M76" t="n">
        <x:v>0</x:v>
      </x:c>
      <x:c r="N76" t="n">
        <x:v>0</x:v>
      </x:c>
      <x:c r="O76" t="n">
        <x:v>0</x:v>
      </x:c>
    </x:row>
    <x:row r="77">
      <x:c r="A77" t="n">
        <x:v>104</x:v>
      </x:c>
      <x:c r="B77" t="n">
        <x:v>20484</x:v>
      </x:c>
      <x:c r="C77" s="12" t="n">
        <x:v>56.1</x:v>
      </x:c>
      <x:c r="D77" t="str">
        <x:v>Feminino</x:v>
      </x:c>
      <x:c r="E77" t="n">
        <x:v>158</x:v>
      </x:c>
      <x:c r="F77" s="12" t="n">
        <x:v>75</x:v>
      </x:c>
      <x:c r="G77" s="12" t="n">
        <x:v>30</x:v>
      </x:c>
      <x:c r="H77" t="n">
        <x:v>130</x:v>
      </x:c>
      <x:c r="I77" t="n">
        <x:v>90</x:v>
      </x:c>
      <x:c r="J77" t="str">
        <x:v>normal</x:v>
      </x:c>
      <x:c r="K77" t="str">
        <x:v>normal</x:v>
      </x:c>
      <x:c r="L77" t="n">
        <x:v>0</x:v>
      </x:c>
      <x:c r="M77" t="n">
        <x:v>0</x:v>
      </x:c>
      <x:c r="N77" t="n">
        <x:v>0</x:v>
      </x:c>
      <x:c r="O77" t="n">
        <x:v>1</x:v>
      </x:c>
    </x:row>
    <x:row r="78">
      <x:c r="A78" t="n">
        <x:v>105</x:v>
      </x:c>
      <x:c r="B78" t="n">
        <x:v>20397</x:v>
      </x:c>
      <x:c r="C78" s="12" t="n">
        <x:v>55.8</x:v>
      </x:c>
      <x:c r="D78" t="str">
        <x:v>Masculino</x:v>
      </x:c>
      <x:c r="E78" t="n">
        <x:v>188</x:v>
      </x:c>
      <x:c r="F78" s="12" t="n">
        <x:v>105</x:v>
      </x:c>
      <x:c r="G78" s="12" t="n">
        <x:v>29.7</x:v>
      </x:c>
      <x:c r="H78" t="n">
        <x:v>120</x:v>
      </x:c>
      <x:c r="I78" t="n">
        <x:v>80</x:v>
      </x:c>
      <x:c r="J78" t="str">
        <x:v>normal</x:v>
      </x:c>
      <x:c r="K78" t="str">
        <x:v>normal</x:v>
      </x:c>
      <x:c r="L78" t="n">
        <x:v>0</x:v>
      </x:c>
      <x:c r="M78" t="n">
        <x:v>0</x:v>
      </x:c>
      <x:c r="N78" t="n">
        <x:v>1</x:v>
      </x:c>
      <x:c r="O78" t="n">
        <x:v>1</x:v>
      </x:c>
    </x:row>
    <x:row r="79">
      <x:c r="A79" t="n">
        <x:v>106</x:v>
      </x:c>
      <x:c r="B79" t="n">
        <x:v>21865</x:v>
      </x:c>
      <x:c r="C79" s="12" t="n">
        <x:v>59.9</x:v>
      </x:c>
      <x:c r="D79" t="str">
        <x:v>Feminino</x:v>
      </x:c>
      <x:c r="E79" t="n">
        <x:v>160</x:v>
      </x:c>
      <x:c r="F79" s="12" t="n">
        <x:v>68</x:v>
      </x:c>
      <x:c r="G79" s="12" t="n">
        <x:v>26.6</x:v>
      </x:c>
      <x:c r="H79" t="n">
        <x:v>140</x:v>
      </x:c>
      <x:c r="I79" t="n">
        <x:v>90</x:v>
      </x:c>
      <x:c r="J79" t="str">
        <x:v>normal</x:v>
      </x:c>
      <x:c r="K79" t="str">
        <x:v>normal</x:v>
      </x:c>
      <x:c r="L79" t="n">
        <x:v>0</x:v>
      </x:c>
      <x:c r="M79" t="n">
        <x:v>0</x:v>
      </x:c>
      <x:c r="N79" t="n">
        <x:v>1</x:v>
      </x:c>
      <x:c r="O79" t="n">
        <x:v>1</x:v>
      </x:c>
    </x:row>
    <x:row r="80">
      <x:c r="A80" t="n">
        <x:v>107</x:v>
      </x:c>
      <x:c r="B80" t="n">
        <x:v>18241</x:v>
      </x:c>
      <x:c r="C80" s="12" t="n">
        <x:v>49.9</x:v>
      </x:c>
      <x:c r="D80" t="str">
        <x:v>Feminino</x:v>
      </x:c>
      <x:c r="E80" t="n">
        <x:v>173</x:v>
      </x:c>
      <x:c r="F80" s="12" t="n">
        <x:v>82</x:v>
      </x:c>
      <x:c r="G80" s="12" t="n">
        <x:v>27.4</x:v>
      </x:c>
      <x:c r="H80" t="n">
        <x:v>140</x:v>
      </x:c>
      <x:c r="I80" t="n">
        <x:v>90</x:v>
      </x:c>
      <x:c r="J80" t="str">
        <x:v>normal</x:v>
      </x:c>
      <x:c r="K80" t="str">
        <x:v>normal</x:v>
      </x:c>
      <x:c r="L80" t="n">
        <x:v>0</x:v>
      </x:c>
      <x:c r="M80" t="n">
        <x:v>0</x:v>
      </x:c>
      <x:c r="N80" t="n">
        <x:v>1</x:v>
      </x:c>
      <x:c r="O80" t="n">
        <x:v>1</x:v>
      </x:c>
    </x:row>
    <x:row r="81">
      <x:c r="A81" t="n">
        <x:v>108</x:v>
      </x:c>
      <x:c r="B81" t="n">
        <x:v>20370</x:v>
      </x:c>
      <x:c r="C81" s="12" t="n">
        <x:v>55.8</x:v>
      </x:c>
      <x:c r="D81" t="str">
        <x:v>Masculino</x:v>
      </x:c>
      <x:c r="E81" t="n">
        <x:v>164</x:v>
      </x:c>
      <x:c r="F81" s="12" t="n">
        <x:v>74</x:v>
      </x:c>
      <x:c r="G81" s="12" t="n">
        <x:v>27.5</x:v>
      </x:c>
      <x:c r="H81" t="n">
        <x:v>140</x:v>
      </x:c>
      <x:c r="I81" t="n">
        <x:v>85</x:v>
      </x:c>
      <x:c r="J81" t="str">
        <x:v>normal</x:v>
      </x:c>
      <x:c r="K81" t="str">
        <x:v>normal</x:v>
      </x:c>
      <x:c r="L81" t="n">
        <x:v>0</x:v>
      </x:c>
      <x:c r="M81" t="n">
        <x:v>0</x:v>
      </x:c>
      <x:c r="N81" t="n">
        <x:v>0</x:v>
      </x:c>
      <x:c r="O81" t="n">
        <x:v>1</x:v>
      </x:c>
    </x:row>
    <x:row r="82">
      <x:c r="A82" t="n">
        <x:v>109</x:v>
      </x:c>
      <x:c r="B82" t="n">
        <x:v>16591</x:v>
      </x:c>
      <x:c r="C82" s="12" t="n">
        <x:v>45.4</x:v>
      </x:c>
      <x:c r="D82" t="str">
        <x:v>Feminino</x:v>
      </x:c>
      <x:c r="E82" t="n">
        <x:v>159</x:v>
      </x:c>
      <x:c r="F82" s="12" t="n">
        <x:v>49</x:v>
      </x:c>
      <x:c r="G82" s="12" t="n">
        <x:v>19.4</x:v>
      </x:c>
      <x:c r="H82" t="n">
        <x:v>120</x:v>
      </x:c>
      <x:c r="I82" t="n">
        <x:v>70</x:v>
      </x:c>
      <x:c r="J82" t="str">
        <x:v>normal</x:v>
      </x:c>
      <x:c r="K82" t="str">
        <x:v>normal</x:v>
      </x:c>
      <x:c r="L82" t="n">
        <x:v>0</x:v>
      </x:c>
      <x:c r="M82" t="n">
        <x:v>0</x:v>
      </x:c>
      <x:c r="N82" t="n">
        <x:v>1</x:v>
      </x:c>
      <x:c r="O82" t="n">
        <x:v>0</x:v>
      </x:c>
    </x:row>
    <x:row r="83">
      <x:c r="A83" t="n">
        <x:v>111</x:v>
      </x:c>
      <x:c r="B83" t="n">
        <x:v>19029</x:v>
      </x:c>
      <x:c r="C83" s="12" t="n">
        <x:v>52.1</x:v>
      </x:c>
      <x:c r="D83" t="str">
        <x:v>Feminino</x:v>
      </x:c>
      <x:c r="E83" t="n">
        <x:v>155</x:v>
      </x:c>
      <x:c r="F83" s="12" t="n">
        <x:v>64</x:v>
      </x:c>
      <x:c r="G83" s="12" t="n">
        <x:v>26.6</x:v>
      </x:c>
      <x:c r="H83" t="n">
        <x:v>120</x:v>
      </x:c>
      <x:c r="I83" t="n">
        <x:v>70</x:v>
      </x:c>
      <x:c r="J83" t="str">
        <x:v>normal</x:v>
      </x:c>
      <x:c r="K83" t="str">
        <x:v>normal</x:v>
      </x:c>
      <x:c r="L83" t="n">
        <x:v>0</x:v>
      </x:c>
      <x:c r="M83" t="n">
        <x:v>0</x:v>
      </x:c>
      <x:c r="N83" t="n">
        <x:v>1</x:v>
      </x:c>
      <x:c r="O83" t="n">
        <x:v>0</x:v>
      </x:c>
    </x:row>
    <x:row r="84">
      <x:c r="A84" t="n">
        <x:v>113</x:v>
      </x:c>
      <x:c r="B84" t="n">
        <x:v>19642</x:v>
      </x:c>
      <x:c r="C84" s="12" t="n">
        <x:v>53.8</x:v>
      </x:c>
      <x:c r="D84" t="str">
        <x:v>Feminino</x:v>
      </x:c>
      <x:c r="E84" t="n">
        <x:v>158</x:v>
      </x:c>
      <x:c r="F84" s="12" t="n">
        <x:v>75</x:v>
      </x:c>
      <x:c r="G84" s="12" t="n">
        <x:v>30</x:v>
      </x:c>
      <x:c r="H84" t="n">
        <x:v>120</x:v>
      </x:c>
      <x:c r="I84" t="n">
        <x:v>80</x:v>
      </x:c>
      <x:c r="J84" t="str">
        <x:v>normal</x:v>
      </x:c>
      <x:c r="K84" t="str">
        <x:v>normal</x:v>
      </x:c>
      <x:c r="L84" t="n">
        <x:v>0</x:v>
      </x:c>
      <x:c r="M84" t="n">
        <x:v>0</x:v>
      </x:c>
      <x:c r="N84" t="n">
        <x:v>1</x:v>
      </x:c>
      <x:c r="O84" t="n">
        <x:v>1</x:v>
      </x:c>
    </x:row>
    <x:row r="85">
      <x:c r="A85" t="n">
        <x:v>114</x:v>
      </x:c>
      <x:c r="B85" t="n">
        <x:v>19570</x:v>
      </x:c>
      <x:c r="C85" s="12" t="n">
        <x:v>53.6</x:v>
      </x:c>
      <x:c r="D85" t="str">
        <x:v>Feminino</x:v>
      </x:c>
      <x:c r="E85" t="n">
        <x:v>152</x:v>
      </x:c>
      <x:c r="F85" s="12" t="n">
        <x:v>110</x:v>
      </x:c>
      <x:c r="G85" s="12" t="n">
        <x:v>47.6</x:v>
      </x:c>
      <x:c r="H85" t="n">
        <x:v>160</x:v>
      </x:c>
      <x:c r="I85" t="n">
        <x:v>90</x:v>
      </x:c>
      <x:c r="J85" t="str">
        <x:v>normal</x:v>
      </x:c>
      <x:c r="K85" t="str">
        <x:v>normal</x:v>
      </x:c>
      <x:c r="L85" t="n">
        <x:v>0</x:v>
      </x:c>
      <x:c r="M85" t="n">
        <x:v>0</x:v>
      </x:c>
      <x:c r="N85" t="n">
        <x:v>1</x:v>
      </x:c>
      <x:c r="O85" t="n">
        <x:v>1</x:v>
      </x:c>
    </x:row>
    <x:row r="86">
      <x:c r="A86" t="n">
        <x:v>115</x:v>
      </x:c>
      <x:c r="B86" t="n">
        <x:v>22636</x:v>
      </x:c>
      <x:c r="C86" s="12" t="n">
        <x:v>62</x:v>
      </x:c>
      <x:c r="D86" t="str">
        <x:v>Feminino</x:v>
      </x:c>
      <x:c r="E86" t="n">
        <x:v>178</x:v>
      </x:c>
      <x:c r="F86" s="12" t="n">
        <x:v>93</x:v>
      </x:c>
      <x:c r="G86" s="12" t="n">
        <x:v>29.4</x:v>
      </x:c>
      <x:c r="H86" t="n">
        <x:v>130</x:v>
      </x:c>
      <x:c r="I86" t="n">
        <x:v>90</x:v>
      </x:c>
      <x:c r="J86" t="str">
        <x:v>normal</x:v>
      </x:c>
      <x:c r="K86" t="str">
        <x:v>normal</x:v>
      </x:c>
      <x:c r="L86" t="n">
        <x:v>0</x:v>
      </x:c>
      <x:c r="M86" t="n">
        <x:v>0</x:v>
      </x:c>
      <x:c r="N86" t="n">
        <x:v>0</x:v>
      </x:c>
      <x:c r="O86" t="n">
        <x:v>1</x:v>
      </x:c>
    </x:row>
    <x:row r="87">
      <x:c r="A87" t="n">
        <x:v>116</x:v>
      </x:c>
      <x:c r="B87" t="n">
        <x:v>18352</x:v>
      </x:c>
      <x:c r="C87" s="12" t="n">
        <x:v>50.2</x:v>
      </x:c>
      <x:c r="D87" t="str">
        <x:v>Feminino</x:v>
      </x:c>
      <x:c r="E87" t="n">
        <x:v>156</x:v>
      </x:c>
      <x:c r="F87" s="12" t="n">
        <x:v>55</x:v>
      </x:c>
      <x:c r="G87" s="12" t="n">
        <x:v>22.6</x:v>
      </x:c>
      <x:c r="H87" t="n">
        <x:v>100</x:v>
      </x:c>
      <x:c r="I87" t="n">
        <x:v>60</x:v>
      </x:c>
      <x:c r="J87" t="str">
        <x:v>normal</x:v>
      </x:c>
      <x:c r="K87" t="str">
        <x:v>normal</x:v>
      </x:c>
      <x:c r="L87" t="n">
        <x:v>0</x:v>
      </x:c>
      <x:c r="M87" t="n">
        <x:v>0</x:v>
      </x:c>
      <x:c r="N87" t="n">
        <x:v>1</x:v>
      </x:c>
      <x:c r="O87" t="n">
        <x:v>0</x:v>
      </x:c>
    </x:row>
    <x:row r="88">
      <x:c r="A88" t="n">
        <x:v>117</x:v>
      </x:c>
      <x:c r="B88" t="n">
        <x:v>21909</x:v>
      </x:c>
      <x:c r="C88" s="12" t="n">
        <x:v>60</x:v>
      </x:c>
      <x:c r="D88" t="str">
        <x:v>Feminino</x:v>
      </x:c>
      <x:c r="E88" t="n">
        <x:v>156</x:v>
      </x:c>
      <x:c r="F88" s="12" t="n">
        <x:v>75</x:v>
      </x:c>
      <x:c r="G88" s="12" t="n">
        <x:v>30.8</x:v>
      </x:c>
      <x:c r="H88" t="n">
        <x:v>150</x:v>
      </x:c>
      <x:c r="I88" t="n">
        <x:v>90</x:v>
      </x:c>
      <x:c r="J88" t="str">
        <x:v>acima_do_normal</x:v>
      </x:c>
      <x:c r="K88" t="str">
        <x:v>acima_do_normal</x:v>
      </x:c>
      <x:c r="L88" t="n">
        <x:v>0</x:v>
      </x:c>
      <x:c r="M88" t="n">
        <x:v>0</x:v>
      </x:c>
      <x:c r="N88" t="n">
        <x:v>1</x:v>
      </x:c>
      <x:c r="O88" t="n">
        <x:v>1</x:v>
      </x:c>
    </x:row>
    <x:row r="89">
      <x:c r="A89" t="n">
        <x:v>119</x:v>
      </x:c>
      <x:c r="B89" t="n">
        <x:v>19663</x:v>
      </x:c>
      <x:c r="C89" s="12" t="n">
        <x:v>53.8</x:v>
      </x:c>
      <x:c r="D89" t="str">
        <x:v>Masculino</x:v>
      </x:c>
      <x:c r="E89" t="n">
        <x:v>166</x:v>
      </x:c>
      <x:c r="F89" s="12" t="n">
        <x:v>94</x:v>
      </x:c>
      <x:c r="G89" s="12" t="n">
        <x:v>34.1</x:v>
      </x:c>
      <x:c r="H89" t="n">
        <x:v>140</x:v>
      </x:c>
      <x:c r="I89" t="n">
        <x:v>90</x:v>
      </x:c>
      <x:c r="J89" t="str">
        <x:v>acima_do_normal</x:v>
      </x:c>
      <x:c r="K89" t="str">
        <x:v>muito_acima_do_normal</x:v>
      </x:c>
      <x:c r="L89" t="n">
        <x:v>0</x:v>
      </x:c>
      <x:c r="M89" t="n">
        <x:v>0</x:v>
      </x:c>
      <x:c r="N89" t="n">
        <x:v>1</x:v>
      </x:c>
      <x:c r="O89" t="n">
        <x:v>1</x:v>
      </x:c>
    </x:row>
    <x:row r="90">
      <x:c r="A90" t="n">
        <x:v>121</x:v>
      </x:c>
      <x:c r="B90" t="n">
        <x:v>23204</x:v>
      </x:c>
      <x:c r="C90" s="12" t="n">
        <x:v>63.5</x:v>
      </x:c>
      <x:c r="D90" t="str">
        <x:v>Feminino</x:v>
      </x:c>
      <x:c r="E90" t="n">
        <x:v>151</x:v>
      </x:c>
      <x:c r="F90" s="12" t="n">
        <x:v>92</x:v>
      </x:c>
      <x:c r="G90" s="12" t="n">
        <x:v>40.3</x:v>
      </x:c>
      <x:c r="H90" t="n">
        <x:v>130</x:v>
      </x:c>
      <x:c r="I90" t="n">
        <x:v>90</x:v>
      </x:c>
      <x:c r="J90" t="str">
        <x:v>normal</x:v>
      </x:c>
      <x:c r="K90" t="str">
        <x:v>normal</x:v>
      </x:c>
      <x:c r="L90" t="n">
        <x:v>0</x:v>
      </x:c>
      <x:c r="M90" t="n">
        <x:v>0</x:v>
      </x:c>
      <x:c r="N90" t="n">
        <x:v>0</x:v>
      </x:c>
      <x:c r="O90" t="n">
        <x:v>1</x:v>
      </x:c>
    </x:row>
    <x:row r="91">
      <x:c r="A91" t="n">
        <x:v>122</x:v>
      </x:c>
      <x:c r="B91" t="n">
        <x:v>19480</x:v>
      </x:c>
      <x:c r="C91" s="12" t="n">
        <x:v>53.3</x:v>
      </x:c>
      <x:c r="D91" t="str">
        <x:v>Masculino</x:v>
      </x:c>
      <x:c r="E91" t="n">
        <x:v>172</x:v>
      </x:c>
      <x:c r="F91" s="12" t="n">
        <x:v>87</x:v>
      </x:c>
      <x:c r="G91" s="12" t="n">
        <x:v>29.4</x:v>
      </x:c>
      <x:c r="H91" t="n">
        <x:v>120</x:v>
      </x:c>
      <x:c r="I91" t="n">
        <x:v>80</x:v>
      </x:c>
      <x:c r="J91" t="str">
        <x:v>normal</x:v>
      </x:c>
      <x:c r="K91" t="str">
        <x:v>normal</x:v>
      </x:c>
      <x:c r="L91" t="n">
        <x:v>0</x:v>
      </x:c>
      <x:c r="M91" t="n">
        <x:v>0</x:v>
      </x:c>
      <x:c r="N91" t="n">
        <x:v>0</x:v>
      </x:c>
      <x:c r="O91" t="n">
        <x:v>0</x:v>
      </x:c>
    </x:row>
    <x:row r="92">
      <x:c r="A92" t="n">
        <x:v>123</x:v>
      </x:c>
      <x:c r="B92" t="n">
        <x:v>23230</x:v>
      </x:c>
      <x:c r="C92" s="12" t="n">
        <x:v>63.6</x:v>
      </x:c>
      <x:c r="D92" t="str">
        <x:v>Feminino</x:v>
      </x:c>
      <x:c r="E92" t="n">
        <x:v>160</x:v>
      </x:c>
      <x:c r="F92" s="12" t="n">
        <x:v>82</x:v>
      </x:c>
      <x:c r="G92" s="12" t="n">
        <x:v>32</x:v>
      </x:c>
      <x:c r="H92" t="n">
        <x:v>140</x:v>
      </x:c>
      <x:c r="I92" t="n">
        <x:v>100</x:v>
      </x:c>
      <x:c r="J92" t="str">
        <x:v>normal</x:v>
      </x:c>
      <x:c r="K92" t="str">
        <x:v>normal</x:v>
      </x:c>
      <x:c r="L92" t="n">
        <x:v>0</x:v>
      </x:c>
      <x:c r="M92" t="n">
        <x:v>0</x:v>
      </x:c>
      <x:c r="N92" t="n">
        <x:v>1</x:v>
      </x:c>
      <x:c r="O92" t="n">
        <x:v>0</x:v>
      </x:c>
    </x:row>
    <x:row r="93">
      <x:c r="A93" t="n">
        <x:v>124</x:v>
      </x:c>
      <x:c r="B93" t="n">
        <x:v>19557</x:v>
      </x:c>
      <x:c r="C93" s="12" t="n">
        <x:v>53.5</x:v>
      </x:c>
      <x:c r="D93" t="str">
        <x:v>Feminino</x:v>
      </x:c>
      <x:c r="E93" t="n">
        <x:v>164</x:v>
      </x:c>
      <x:c r="F93" s="12" t="n">
        <x:v>103</x:v>
      </x:c>
      <x:c r="G93" s="12" t="n">
        <x:v>38.3</x:v>
      </x:c>
      <x:c r="H93" t="n">
        <x:v>140</x:v>
      </x:c>
      <x:c r="I93" t="n">
        <x:v>90</x:v>
      </x:c>
      <x:c r="J93" t="str">
        <x:v>muito_acima_do_normal</x:v>
      </x:c>
      <x:c r="K93" t="str">
        <x:v>muito_acima_do_normal</x:v>
      </x:c>
      <x:c r="L93" t="n">
        <x:v>0</x:v>
      </x:c>
      <x:c r="M93" t="n">
        <x:v>0</x:v>
      </x:c>
      <x:c r="N93" t="n">
        <x:v>0</x:v>
      </x:c>
      <x:c r="O93" t="n">
        <x:v>1</x:v>
      </x:c>
    </x:row>
    <x:row r="94">
      <x:c r="A94" t="n">
        <x:v>125</x:v>
      </x:c>
      <x:c r="B94" t="n">
        <x:v>18752</x:v>
      </x:c>
      <x:c r="C94" s="12" t="n">
        <x:v>51.3</x:v>
      </x:c>
      <x:c r="D94" t="str">
        <x:v>Masculino</x:v>
      </x:c>
      <x:c r="E94" t="n">
        <x:v>173</x:v>
      </x:c>
      <x:c r="F94" s="12" t="n">
        <x:v>76</x:v>
      </x:c>
      <x:c r="G94" s="12" t="n">
        <x:v>25.4</x:v>
      </x:c>
      <x:c r="H94" t="n">
        <x:v>150</x:v>
      </x:c>
      <x:c r="I94" t="n">
        <x:v>90</x:v>
      </x:c>
      <x:c r="J94" t="str">
        <x:v>normal</x:v>
      </x:c>
      <x:c r="K94" t="str">
        <x:v>normal</x:v>
      </x:c>
      <x:c r="L94" t="n">
        <x:v>0</x:v>
      </x:c>
      <x:c r="M94" t="n">
        <x:v>0</x:v>
      </x:c>
      <x:c r="N94" t="n">
        <x:v>1</x:v>
      </x:c>
      <x:c r="O94" t="n">
        <x:v>1</x:v>
      </x:c>
    </x:row>
    <x:row r="95">
      <x:c r="A95" t="n">
        <x:v>126</x:v>
      </x:c>
      <x:c r="B95" t="n">
        <x:v>22821</x:v>
      </x:c>
      <x:c r="C95" s="12" t="n">
        <x:v>62.5</x:v>
      </x:c>
      <x:c r="D95" t="str">
        <x:v>Masculino</x:v>
      </x:c>
      <x:c r="E95" t="n">
        <x:v>168</x:v>
      </x:c>
      <x:c r="F95" s="12" t="n">
        <x:v>80</x:v>
      </x:c>
      <x:c r="G95" s="12" t="n">
        <x:v>28.3</x:v>
      </x:c>
      <x:c r="H95" t="n">
        <x:v>160</x:v>
      </x:c>
      <x:c r="I95" t="n">
        <x:v>100</x:v>
      </x:c>
      <x:c r="J95" t="str">
        <x:v>normal</x:v>
      </x:c>
      <x:c r="K95" t="str">
        <x:v>normal</x:v>
      </x:c>
      <x:c r="L95" t="n">
        <x:v>0</x:v>
      </x:c>
      <x:c r="M95" t="n">
        <x:v>0</x:v>
      </x:c>
      <x:c r="N95" t="n">
        <x:v>1</x:v>
      </x:c>
      <x:c r="O95" t="n">
        <x:v>0</x:v>
      </x:c>
    </x:row>
    <x:row r="96">
      <x:c r="A96" t="n">
        <x:v>127</x:v>
      </x:c>
      <x:c r="B96" t="n">
        <x:v>15946</x:v>
      </x:c>
      <x:c r="C96" s="12" t="n">
        <x:v>43.7</x:v>
      </x:c>
      <x:c r="D96" t="str">
        <x:v>Masculino</x:v>
      </x:c>
      <x:c r="E96" t="n">
        <x:v>185</x:v>
      </x:c>
      <x:c r="F96" s="12" t="n">
        <x:v>88</x:v>
      </x:c>
      <x:c r="G96" s="12" t="n">
        <x:v>25.7</x:v>
      </x:c>
      <x:c r="H96" t="n">
        <x:v>133</x:v>
      </x:c>
      <x:c r="I96" t="n">
        <x:v>89</x:v>
      </x:c>
      <x:c r="J96" t="str">
        <x:v>acima_do_normal</x:v>
      </x:c>
      <x:c r="K96" t="str">
        <x:v>muito_acima_do_normal</x:v>
      </x:c>
      <x:c r="L96" t="n">
        <x:v>0</x:v>
      </x:c>
      <x:c r="M96" t="n">
        <x:v>0</x:v>
      </x:c>
      <x:c r="N96" t="n">
        <x:v>1</x:v>
      </x:c>
      <x:c r="O96" t="n">
        <x:v>0</x:v>
      </x:c>
    </x:row>
    <x:row r="97">
      <x:c r="A97" t="n">
        <x:v>129</x:v>
      </x:c>
      <x:c r="B97" t="n">
        <x:v>21076</x:v>
      </x:c>
      <x:c r="C97" s="12" t="n">
        <x:v>57.7</x:v>
      </x:c>
      <x:c r="D97" t="str">
        <x:v>Feminino</x:v>
      </x:c>
      <x:c r="E97" t="n">
        <x:v>158</x:v>
      </x:c>
      <x:c r="F97" s="12" t="n">
        <x:v>53</x:v>
      </x:c>
      <x:c r="G97" s="12" t="n">
        <x:v>21.2</x:v>
      </x:c>
      <x:c r="H97" t="n">
        <x:v>110</x:v>
      </x:c>
      <x:c r="I97" t="n">
        <x:v>70</x:v>
      </x:c>
      <x:c r="J97" t="str">
        <x:v>normal</x:v>
      </x:c>
      <x:c r="K97" t="str">
        <x:v>normal</x:v>
      </x:c>
      <x:c r="L97" t="n">
        <x:v>0</x:v>
      </x:c>
      <x:c r="M97" t="n">
        <x:v>0</x:v>
      </x:c>
      <x:c r="N97" t="n">
        <x:v>1</x:v>
      </x:c>
      <x:c r="O97" t="n">
        <x:v>0</x:v>
      </x:c>
    </x:row>
    <x:row r="98">
      <x:c r="A98" t="n">
        <x:v>131</x:v>
      </x:c>
      <x:c r="B98" t="n">
        <x:v>19258</x:v>
      </x:c>
      <x:c r="C98" s="12" t="n">
        <x:v>52.7</x:v>
      </x:c>
      <x:c r="D98" t="str">
        <x:v>Masculino</x:v>
      </x:c>
      <x:c r="E98" t="n">
        <x:v>165</x:v>
      </x:c>
      <x:c r="F98" s="12" t="n">
        <x:v>65</x:v>
      </x:c>
      <x:c r="G98" s="12" t="n">
        <x:v>23.9</x:v>
      </x:c>
      <x:c r="H98" t="n">
        <x:v>110</x:v>
      </x:c>
      <x:c r="I98" t="n">
        <x:v>70</x:v>
      </x:c>
      <x:c r="J98" t="str">
        <x:v>normal</x:v>
      </x:c>
      <x:c r="K98" t="str">
        <x:v>normal</x:v>
      </x:c>
      <x:c r="L98" t="n">
        <x:v>0</x:v>
      </x:c>
      <x:c r="M98" t="n">
        <x:v>0</x:v>
      </x:c>
      <x:c r="N98" t="n">
        <x:v>1</x:v>
      </x:c>
      <x:c r="O98" t="n">
        <x:v>0</x:v>
      </x:c>
    </x:row>
    <x:row r="99">
      <x:c r="A99" t="n">
        <x:v>132</x:v>
      </x:c>
      <x:c r="B99" t="n">
        <x:v>18410</x:v>
      </x:c>
      <x:c r="C99" s="12" t="n">
        <x:v>50.4</x:v>
      </x:c>
      <x:c r="D99" t="str">
        <x:v>Feminino</x:v>
      </x:c>
      <x:c r="E99" t="n">
        <x:v>165</x:v>
      </x:c>
      <x:c r="F99" s="12" t="n">
        <x:v>99</x:v>
      </x:c>
      <x:c r="G99" s="12" t="n">
        <x:v>36.4</x:v>
      </x:c>
      <x:c r="H99" t="n">
        <x:v>150</x:v>
      </x:c>
      <x:c r="I99" t="n">
        <x:v>110</x:v>
      </x:c>
      <x:c r="J99" t="str">
        <x:v>normal</x:v>
      </x:c>
      <x:c r="K99" t="str">
        <x:v>normal</x:v>
      </x:c>
      <x:c r="L99" t="n">
        <x:v>0</x:v>
      </x:c>
      <x:c r="M99" t="n">
        <x:v>0</x:v>
      </x:c>
      <x:c r="N99" t="n">
        <x:v>0</x:v>
      </x:c>
      <x:c r="O99" t="n">
        <x:v>1</x:v>
      </x:c>
    </x:row>
    <x:row r="100">
      <x:c r="A100" t="n">
        <x:v>133</x:v>
      </x:c>
      <x:c r="B100" t="n">
        <x:v>21860</x:v>
      </x:c>
      <x:c r="C100" s="12" t="n">
        <x:v>59.8</x:v>
      </x:c>
      <x:c r="D100" t="str">
        <x:v>Masculino</x:v>
      </x:c>
      <x:c r="E100" t="n">
        <x:v>170</x:v>
      </x:c>
      <x:c r="F100" s="12" t="n">
        <x:v>100</x:v>
      </x:c>
      <x:c r="G100" s="12" t="n">
        <x:v>34.6</x:v>
      </x:c>
      <x:c r="H100" t="n">
        <x:v>120</x:v>
      </x:c>
      <x:c r="I100" t="n">
        <x:v>80</x:v>
      </x:c>
      <x:c r="J100" t="str">
        <x:v>normal</x:v>
      </x:c>
      <x:c r="K100" t="str">
        <x:v>normal</x:v>
      </x:c>
      <x:c r="L100" t="n">
        <x:v>0</x:v>
      </x:c>
      <x:c r="M100" t="n">
        <x:v>0</x:v>
      </x:c>
      <x:c r="N100" t="n">
        <x:v>0</x:v>
      </x:c>
      <x:c r="O100" t="n">
        <x:v>1</x:v>
      </x:c>
    </x:row>
    <x:row r="101">
      <x:c r="A101" t="n">
        <x:v>134</x:v>
      </x:c>
      <x:c r="B101" t="n">
        <x:v>17363</x:v>
      </x:c>
      <x:c r="C101" s="12" t="n">
        <x:v>47.5</x:v>
      </x:c>
      <x:c r="D101" t="str">
        <x:v>Feminino</x:v>
      </x:c>
      <x:c r="E101" t="n">
        <x:v>167</x:v>
      </x:c>
      <x:c r="F101" s="12" t="n">
        <x:v>71</x:v>
      </x:c>
      <x:c r="G101" s="12" t="n">
        <x:v>25.5</x:v>
      </x:c>
      <x:c r="H101" t="n">
        <x:v>120</x:v>
      </x:c>
      <x:c r="I101" t="n">
        <x:v>80</x:v>
      </x:c>
      <x:c r="J101" t="str">
        <x:v>acima_do_normal</x:v>
      </x:c>
      <x:c r="K101" t="str">
        <x:v>normal</x:v>
      </x:c>
      <x:c r="L101" t="n">
        <x:v>0</x:v>
      </x:c>
      <x:c r="M101" t="n">
        <x:v>1</x:v>
      </x:c>
      <x:c r="N101" t="n">
        <x:v>1</x:v>
      </x:c>
      <x:c r="O101" t="n">
        <x:v>1</x:v>
      </x:c>
    </x:row>
  </x:sheetData>
  <x:conditionalFormatting sqref="H2:I10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O2:O10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{ABCAA0CA-79DE-4A2F-3072-75D29F7D5244}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eb5a0b4b25e459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BCAA0CA-79DE-4A2F-3072-75D29F7D5244}">
            <x14:dataBar gradient="1">
              <x14:cfvo type="min"/>
              <x14:cfvo type="max"/>
              <x14:fillColor rgb="FFA02B93"/>
            </x14:dataBar>
          </x14:cfRule>
          <xm:sqref>O2:O101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5" hidden="0" customWidth="1"/>
    <x:col min="4" max="4" width="38" hidden="0" customWidth="1"/>
  </x:cols>
  <x:sheetData>
    <x:row r="1">
      <x:c r="A1" s="5" t="str">
        <x:v>variavel</x:v>
      </x:c>
      <x:c r="B1" s="5" t="str">
        <x:v>tipo</x:v>
      </x:c>
      <x:c r="C1" s="5" t="str">
        <x:v>descricao</x:v>
      </x:c>
      <x:c r="D1" s="5" t="str">
        <x:v>codificacao_origem</x:v>
      </x:c>
    </x:row>
    <x:row r="2">
      <x:c r="A2" s="16" t="str">
        <x:v>id</x:v>
      </x:c>
      <x:c r="B2" s="16" t="str">
        <x:v>inteiro</x:v>
      </x:c>
      <x:c r="C2" s="16" t="str">
        <x:v>Identificador do registro</x:v>
      </x:c>
      <x:c r="D2" s="16" t="str">
        <x:v>Original</x:v>
      </x:c>
    </x:row>
    <x:row r="3">
      <x:c r="A3" s="16" t="str">
        <x:v>idade_dias</x:v>
      </x:c>
      <x:c r="B3" s="16" t="str">
        <x:v>inteiro</x:v>
      </x:c>
      <x:c r="C3" s="16" t="str">
        <x:v>Idade em dias no dataset original</x:v>
      </x:c>
      <x:c r="D3" s="16" t="str">
        <x:v>age</x:v>
      </x:c>
    </x:row>
    <x:row r="4">
      <x:c r="A4" s="16" t="str">
        <x:v>idade_anos</x:v>
      </x:c>
      <x:c r="B4" s="16" t="str">
        <x:v>decimal</x:v>
      </x:c>
      <x:c r="C4" s="16" t="str">
        <x:v>Idade derivada em anos</x:v>
      </x:c>
      <x:c r="D4" s="16" t="str">
        <x:v>age/365,25</x:v>
      </x:c>
    </x:row>
    <x:row r="5">
      <x:c r="A5" s="16" t="str">
        <x:v>sexo</x:v>
      </x:c>
      <x:c r="B5" s="16" t="str">
        <x:v>categorico</x:v>
      </x:c>
      <x:c r="C5" s="16" t="str">
        <x:v>Sexo decodificado</x:v>
      </x:c>
      <x:c r="D5" s="16" t="str">
        <x:v>gender: 1=feminino; 2=masculino</x:v>
      </x:c>
    </x:row>
    <x:row r="6">
      <x:c r="A6" s="16" t="str">
        <x:v>altura_cm</x:v>
      </x:c>
      <x:c r="B6" s="16" t="str">
        <x:v>inteiro</x:v>
      </x:c>
      <x:c r="C6" s="16" t="str">
        <x:v>Altura em centímetros</x:v>
      </x:c>
      <x:c r="D6" s="16" t="str">
        <x:v>height</x:v>
      </x:c>
    </x:row>
    <x:row r="7">
      <x:c r="A7" s="16" t="str">
        <x:v>peso_kg</x:v>
      </x:c>
      <x:c r="B7" s="16" t="str">
        <x:v>decimal</x:v>
      </x:c>
      <x:c r="C7" s="16" t="str">
        <x:v>Peso em quilogramas</x:v>
      </x:c>
      <x:c r="D7" s="16" t="str">
        <x:v>weight</x:v>
      </x:c>
    </x:row>
    <x:row r="8">
      <x:c r="A8" s="16" t="str">
        <x:v>imc</x:v>
      </x:c>
      <x:c r="B8" s="16" t="str">
        <x:v>decimal</x:v>
      </x:c>
      <x:c r="C8" s="16" t="str">
        <x:v>Índice de massa corporal derivado</x:v>
      </x:c>
      <x:c r="D8" s="16" t="str">
        <x:v>peso/(altura em metros)^2</x:v>
      </x:c>
    </x:row>
    <x:row r="9">
      <x:c r="A9" s="16" t="str">
        <x:v>pressao_sistolica</x:v>
      </x:c>
      <x:c r="B9" s="16" t="str">
        <x:v>inteiro</x:v>
      </x:c>
      <x:c r="C9" s="16" t="str">
        <x:v>Pressão arterial sistólica</x:v>
      </x:c>
      <x:c r="D9" s="16" t="str">
        <x:v>ap_hi</x:v>
      </x:c>
    </x:row>
    <x:row r="10">
      <x:c r="A10" s="16" t="str">
        <x:v>pressao_diastolica</x:v>
      </x:c>
      <x:c r="B10" s="16" t="str">
        <x:v>inteiro</x:v>
      </x:c>
      <x:c r="C10" s="16" t="str">
        <x:v>Pressão arterial diastólica</x:v>
      </x:c>
      <x:c r="D10" s="16" t="str">
        <x:v>ap_lo</x:v>
      </x:c>
    </x:row>
    <x:row r="11">
      <x:c r="A11" s="16" t="str">
        <x:v>colesterol</x:v>
      </x:c>
      <x:c r="B11" s="16" t="str">
        <x:v>categorico</x:v>
      </x:c>
      <x:c r="C11" s="16" t="str">
        <x:v>Nível categórico de colesterol</x:v>
      </x:c>
      <x:c r="D11" s="16" t="str">
        <x:v>1 normal; 2 acima; 3 muito acima</x:v>
      </x:c>
    </x:row>
    <x:row r="12">
      <x:c r="A12" s="16" t="str">
        <x:v>glicose</x:v>
      </x:c>
      <x:c r="B12" s="16" t="str">
        <x:v>categorico</x:v>
      </x:c>
      <x:c r="C12" s="16" t="str">
        <x:v>Nível categórico de glicose</x:v>
      </x:c>
      <x:c r="D12" s="16" t="str">
        <x:v>1 normal; 2 acima; 3 muito acima</x:v>
      </x:c>
    </x:row>
    <x:row r="13">
      <x:c r="A13" s="16" t="str">
        <x:v>tabagista</x:v>
      </x:c>
      <x:c r="B13" s="16" t="str">
        <x:v>binario</x:v>
      </x:c>
      <x:c r="C13" s="16" t="str">
        <x:v>Indicador de tabagismo</x:v>
      </x:c>
      <x:c r="D13" s="16" t="str">
        <x:v>0 não; 1 sim</x:v>
      </x:c>
    </x:row>
    <x:row r="14">
      <x:c r="A14" s="16" t="str">
        <x:v>consumo_alcool</x:v>
      </x:c>
      <x:c r="B14" s="16" t="str">
        <x:v>binario</x:v>
      </x:c>
      <x:c r="C14" s="16" t="str">
        <x:v>Indicador de consumo de álcool</x:v>
      </x:c>
      <x:c r="D14" s="16" t="str">
        <x:v>0 não; 1 sim</x:v>
      </x:c>
    </x:row>
    <x:row r="15">
      <x:c r="A15" s="16" t="str">
        <x:v>atividade_fisica</x:v>
      </x:c>
      <x:c r="B15" s="16" t="str">
        <x:v>binario</x:v>
      </x:c>
      <x:c r="C15" s="16" t="str">
        <x:v>Indicador de atividade física</x:v>
      </x:c>
      <x:c r="D15" s="16" t="str">
        <x:v>0 não; 1 sim</x:v>
      </x:c>
    </x:row>
    <x:row r="16">
      <x:c r="A16" s="16" t="str">
        <x:v>doenca_cardiovascular</x:v>
      </x:c>
      <x:c r="B16" s="16" t="str">
        <x:v>binario</x:v>
      </x:c>
      <x:c r="C16" s="16" t="str">
        <x:v>Variável-alvo: presença de doença cardiovascular</x:v>
      </x:c>
      <x:c r="D16" s="16" t="str">
        <x:v>cardio: 0 não; 1 sim</x:v>
      </x:c>
    </x:row>
  </x:sheetData>
  <x:pageMargins left="0.7" right="0.7" top="0.75" bottom="0.75" header="0.3" footer="0.3"/>
  <x:tableParts count="1">
    <x:tablePart xmlns:r="http://schemas.openxmlformats.org/officeDocument/2006/relationships" r:id="R42109b7823b64fb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 ht="28" customHeight="1">
      <x:c r="A1" s="20" t="str">
        <x:v>CardioIA - Resumo da amostra real (Kaggle)</x:v>
      </x:c>
      <x:c r="B1" s="20"/>
      <x:c r="C1" s="20"/>
      <x:c r="D1" s="20"/>
      <x:c r="E1" s="20"/>
      <x:c r="F1" s="20"/>
    </x:row>
    <x:row r="3">
      <x:c r="A3" s="25" t="str">
        <x:v>Indicador</x:v>
      </x:c>
      <x:c r="B3" s="25" t="str">
        <x:v>Valor</x:v>
      </x:c>
      <x:c r="D3" s="25" t="str">
        <x:v>Cardio</x:v>
      </x:c>
      <x:c r="E3" s="25" t="str">
        <x:v>Quantidade</x:v>
      </x:c>
    </x:row>
    <x:row r="4">
      <x:c r="A4" t="str">
        <x:v>Registros na amostra</x:v>
      </x:c>
      <x:c r="B4" t="n">
        <x:f>COUNTA('Dados preparados'!A2:A101)</x:f>
        <x:v>100</x:v>
      </x:c>
      <x:c r="D4" t="str">
        <x:v>Sem DCV</x:v>
      </x:c>
      <x:c r="E4" t="n">
        <x:f>COUNTIF('Dados preparados'!O2:O101,0)</x:f>
        <x:v>49</x:v>
      </x:c>
    </x:row>
    <x:row r="5">
      <x:c r="A5" t="str">
        <x:v>Idade média (anos)</x:v>
      </x:c>
      <x:c r="B5" s="12" t="n">
        <x:f>AVERAGE('Dados preparados'!C2:C101)</x:f>
        <x:v>53.645</x:v>
      </x:c>
      <x:c r="D5" t="str">
        <x:v>Com DCV</x:v>
      </x:c>
      <x:c r="E5" t="n">
        <x:f>COUNTIF('Dados preparados'!O2:O101,1)</x:f>
        <x:v>51</x:v>
      </x:c>
    </x:row>
    <x:row r="6">
      <x:c r="A6" t="str">
        <x:v>Pressão sistólica média</x:v>
      </x:c>
      <x:c r="B6" s="12" t="n">
        <x:f>AVERAGE('Dados preparados'!H2:H101)</x:f>
        <x:v>128.88</x:v>
      </x:c>
    </x:row>
    <x:row r="7">
      <x:c r="A7" t="str">
        <x:v>Pressão diastólica média</x:v>
      </x:c>
      <x:c r="B7" s="12" t="n">
        <x:f>AVERAGE('Dados preparados'!I2:I101)</x:f>
        <x:v>82.24</x:v>
      </x:c>
    </x:row>
    <x:row r="8">
      <x:c r="A8" t="str">
        <x:v>IMC médio</x:v>
      </x:c>
      <x:c r="B8" s="12" t="n">
        <x:f>AVERAGE('Dados preparados'!G2:G101)</x:f>
        <x:v>28.04100000000001</x:v>
      </x:c>
    </x:row>
    <x:row r="9">
      <x:c r="A9" t="str">
        <x:v>% com doença cardiovascular</x:v>
      </x:c>
      <x:c r="B9" s="28" t="n">
        <x:f>COUNTIF('Dados preparados'!O2:O101,1)/COUNTA('Dados preparados'!O2:O101)</x:f>
        <x:v>0.51</x:v>
      </x:c>
    </x:row>
    <x:row r="10">
      <x:c r="A10" t="str">
        <x:v>% fumantes</x:v>
      </x:c>
      <x:c r="B10" s="28" t="n">
        <x:f>COUNTIF('Dados preparados'!L2:L101,1)/COUNTA('Dados preparados'!L2:L101)</x:f>
        <x:v>0.06</x:v>
      </x:c>
    </x:row>
    <x:row r="12">
      <x:c r="A12" s="32" t="str">
        <x:v>Fonte principal: https://www.kaggle.com/datasets/sulianova/cardiovascular-disease-dataset. A planilha local contém uma amostra de 100 registros reais da base, preparada para atender ao mínimo da atividade.</x:v>
      </x:c>
      <x:c r="B12" s="32"/>
      <x:c r="C12" s="32"/>
      <x:c r="D12" s="32"/>
      <x:c r="E12" s="32"/>
      <x:c r="F12" s="32"/>
    </x:row>
    <x:row r="13">
      <x:c r="A13" s="32"/>
      <x:c r="B13" s="32"/>
      <x:c r="C13" s="32"/>
      <x:c r="D13" s="32"/>
      <x:c r="E13" s="32"/>
      <x:c r="F13" s="32"/>
    </x:row>
    <x:row r="14">
      <x:c r="A14" s="32"/>
      <x:c r="B14" s="32"/>
      <x:c r="C14" s="32"/>
      <x:c r="D14" s="32"/>
      <x:c r="E14" s="32"/>
      <x:c r="F14" s="32"/>
    </x:row>
    <x:row r="15">
      <x:c r="A15" s="32"/>
      <x:c r="B15" s="32"/>
      <x:c r="C15" s="32"/>
      <x:c r="D15" s="32"/>
      <x:c r="E15" s="32"/>
      <x:c r="F15" s="32"/>
    </x:row>
  </x:sheetData>
  <x:mergeCells>
    <x:mergeCell ref="A1:F1"/>
    <x:mergeCell ref="A12:F15"/>
  </x:mergeCells>
  <x:pageMargins left="0.7" right="0.7" top="0.75" bottom="0.75" header="0.3" footer="0.3"/>
  <x:drawing xmlns:r="http://schemas.openxmlformats.org/officeDocument/2006/relationships" r:id="Re0e713ef10494eaf"/>
</x:worksheet>
</file>